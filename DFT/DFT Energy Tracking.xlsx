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nkhwaja/Documents/GitHub/HTS_MOF_Hydrogenation /DFT/"/>
    </mc:Choice>
  </mc:AlternateContent>
  <xr:revisionPtr revIDLastSave="0" documentId="13_ncr:1_{7D203049-86E2-E94A-8B5C-16B8465590A8}" xr6:coauthVersionLast="47" xr6:coauthVersionMax="47" xr10:uidLastSave="{00000000-0000-0000-0000-000000000000}"/>
  <bookViews>
    <workbookView xWindow="22780" yWindow="1580" windowWidth="25600" windowHeight="19240" xr2:uid="{A624FA92-D998-CD48-97F7-B1AA3B0340D2}"/>
  </bookViews>
  <sheets>
    <sheet name="Data Report" sheetId="6" r:id="rId1"/>
    <sheet name="Raw Collection and Calculation" sheetId="5" r:id="rId2"/>
    <sheet name="9f8e842 NEB Test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F40" i="5"/>
  <c r="N13" i="5"/>
  <c r="M30" i="5"/>
  <c r="O30" i="5"/>
  <c r="P30" i="5"/>
  <c r="M32" i="5"/>
  <c r="N32" i="5"/>
  <c r="O33" i="5"/>
  <c r="L34" i="5"/>
  <c r="O35" i="5"/>
  <c r="P35" i="5"/>
  <c r="L36" i="5"/>
  <c r="P36" i="5"/>
  <c r="L37" i="5"/>
  <c r="M37" i="5"/>
  <c r="N37" i="5"/>
  <c r="O37" i="5"/>
  <c r="P37" i="5"/>
  <c r="N38" i="5"/>
  <c r="P38" i="5"/>
  <c r="L39" i="5"/>
  <c r="M41" i="5"/>
  <c r="N41" i="5"/>
  <c r="O42" i="5"/>
  <c r="L43" i="5"/>
  <c r="L44" i="5"/>
  <c r="O44" i="5"/>
  <c r="P44" i="5"/>
  <c r="P48" i="5"/>
  <c r="M49" i="5"/>
  <c r="O49" i="5"/>
  <c r="N50" i="5"/>
  <c r="P50" i="5"/>
  <c r="M51" i="5"/>
  <c r="N51" i="5"/>
  <c r="N52" i="5"/>
  <c r="P52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6" i="5"/>
  <c r="K48" i="5"/>
  <c r="K49" i="5"/>
  <c r="K50" i="5"/>
  <c r="K51" i="5"/>
  <c r="K52" i="5"/>
  <c r="K30" i="5"/>
  <c r="P4" i="5"/>
  <c r="P31" i="5" s="1"/>
  <c r="P5" i="5"/>
  <c r="P32" i="5" s="1"/>
  <c r="P6" i="5"/>
  <c r="P33" i="5" s="1"/>
  <c r="P8" i="5"/>
  <c r="P9" i="5"/>
  <c r="P10" i="5"/>
  <c r="P11" i="5"/>
  <c r="P12" i="5"/>
  <c r="P39" i="5" s="1"/>
  <c r="P13" i="5"/>
  <c r="P40" i="5" s="1"/>
  <c r="P14" i="5"/>
  <c r="P41" i="5" s="1"/>
  <c r="P15" i="5"/>
  <c r="P42" i="5" s="1"/>
  <c r="P16" i="5"/>
  <c r="P43" i="5" s="1"/>
  <c r="P17" i="5"/>
  <c r="P21" i="5"/>
  <c r="P22" i="5"/>
  <c r="P49" i="5" s="1"/>
  <c r="P23" i="5"/>
  <c r="P24" i="5"/>
  <c r="P51" i="5" s="1"/>
  <c r="P25" i="5"/>
  <c r="O4" i="5"/>
  <c r="O31" i="5" s="1"/>
  <c r="O5" i="5"/>
  <c r="O32" i="5" s="1"/>
  <c r="O6" i="5"/>
  <c r="O8" i="5"/>
  <c r="O9" i="5"/>
  <c r="O36" i="5" s="1"/>
  <c r="O10" i="5"/>
  <c r="O11" i="5"/>
  <c r="O38" i="5" s="1"/>
  <c r="O12" i="5"/>
  <c r="O39" i="5" s="1"/>
  <c r="O14" i="5"/>
  <c r="O41" i="5" s="1"/>
  <c r="O15" i="5"/>
  <c r="O16" i="5"/>
  <c r="O43" i="5" s="1"/>
  <c r="O17" i="5"/>
  <c r="O21" i="5"/>
  <c r="O48" i="5" s="1"/>
  <c r="O22" i="5"/>
  <c r="O23" i="5"/>
  <c r="O50" i="5" s="1"/>
  <c r="O24" i="5"/>
  <c r="O51" i="5" s="1"/>
  <c r="O25" i="5"/>
  <c r="O52" i="5" s="1"/>
  <c r="O3" i="5"/>
  <c r="N4" i="5"/>
  <c r="N31" i="5" s="1"/>
  <c r="N5" i="5"/>
  <c r="N6" i="5"/>
  <c r="N33" i="5" s="1"/>
  <c r="N7" i="5"/>
  <c r="N34" i="5" s="1"/>
  <c r="N8" i="5"/>
  <c r="N35" i="5" s="1"/>
  <c r="N9" i="5"/>
  <c r="N36" i="5" s="1"/>
  <c r="N10" i="5"/>
  <c r="N11" i="5"/>
  <c r="N14" i="5"/>
  <c r="N15" i="5"/>
  <c r="N42" i="5" s="1"/>
  <c r="N16" i="5"/>
  <c r="N43" i="5" s="1"/>
  <c r="N17" i="5"/>
  <c r="N44" i="5" s="1"/>
  <c r="N21" i="5"/>
  <c r="N48" i="5" s="1"/>
  <c r="N22" i="5"/>
  <c r="N49" i="5" s="1"/>
  <c r="N23" i="5"/>
  <c r="N24" i="5"/>
  <c r="N25" i="5"/>
  <c r="M4" i="5"/>
  <c r="M31" i="5" s="1"/>
  <c r="M5" i="5"/>
  <c r="M6" i="5"/>
  <c r="M33" i="5" s="1"/>
  <c r="M7" i="5"/>
  <c r="M34" i="5" s="1"/>
  <c r="M8" i="5"/>
  <c r="M35" i="5" s="1"/>
  <c r="M9" i="5"/>
  <c r="M36" i="5" s="1"/>
  <c r="M10" i="5"/>
  <c r="M11" i="5"/>
  <c r="M38" i="5" s="1"/>
  <c r="M13" i="5"/>
  <c r="M40" i="5" s="1"/>
  <c r="M14" i="5"/>
  <c r="M15" i="5"/>
  <c r="M42" i="5" s="1"/>
  <c r="M16" i="5"/>
  <c r="M43" i="5" s="1"/>
  <c r="M17" i="5"/>
  <c r="M44" i="5" s="1"/>
  <c r="M21" i="5"/>
  <c r="M48" i="5" s="1"/>
  <c r="M22" i="5"/>
  <c r="M23" i="5"/>
  <c r="M50" i="5" s="1"/>
  <c r="M24" i="5"/>
  <c r="M25" i="5"/>
  <c r="M52" i="5" s="1"/>
  <c r="L4" i="5"/>
  <c r="L31" i="5" s="1"/>
  <c r="L5" i="5"/>
  <c r="L32" i="5" s="1"/>
  <c r="L6" i="5"/>
  <c r="L33" i="5" s="1"/>
  <c r="L7" i="5"/>
  <c r="L8" i="5"/>
  <c r="L35" i="5" s="1"/>
  <c r="L9" i="5"/>
  <c r="L10" i="5"/>
  <c r="L11" i="5"/>
  <c r="L38" i="5" s="1"/>
  <c r="L12" i="5"/>
  <c r="L13" i="5"/>
  <c r="L40" i="5" s="1"/>
  <c r="L14" i="5"/>
  <c r="L41" i="5" s="1"/>
  <c r="L15" i="5"/>
  <c r="L42" i="5" s="1"/>
  <c r="L16" i="5"/>
  <c r="L17" i="5"/>
  <c r="L21" i="5"/>
  <c r="L48" i="5" s="1"/>
  <c r="L22" i="5"/>
  <c r="L49" i="5" s="1"/>
  <c r="L23" i="5"/>
  <c r="L50" i="5" s="1"/>
  <c r="L24" i="5"/>
  <c r="L51" i="5" s="1"/>
  <c r="L25" i="5"/>
  <c r="L52" i="5" s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47" i="5" s="1"/>
  <c r="K21" i="5"/>
  <c r="K22" i="5"/>
  <c r="K23" i="5"/>
  <c r="K24" i="5"/>
  <c r="K25" i="5"/>
  <c r="N3" i="5"/>
  <c r="N30" i="5" s="1"/>
  <c r="M3" i="5"/>
  <c r="L3" i="5"/>
  <c r="L30" i="5" s="1"/>
  <c r="K3" i="5"/>
  <c r="H31" i="5"/>
  <c r="H32" i="5"/>
  <c r="H33" i="5"/>
  <c r="H34" i="5"/>
  <c r="P7" i="5" s="1"/>
  <c r="P34" i="5" s="1"/>
  <c r="H35" i="5"/>
  <c r="H36" i="5"/>
  <c r="H37" i="5"/>
  <c r="H38" i="5"/>
  <c r="H39" i="5"/>
  <c r="H40" i="5"/>
  <c r="H41" i="5"/>
  <c r="H42" i="5"/>
  <c r="H43" i="5"/>
  <c r="H44" i="5"/>
  <c r="H48" i="5"/>
  <c r="H49" i="5"/>
  <c r="H50" i="5"/>
  <c r="H51" i="5"/>
  <c r="H52" i="5"/>
  <c r="G31" i="5"/>
  <c r="G32" i="5"/>
  <c r="G33" i="5"/>
  <c r="G34" i="5"/>
  <c r="O7" i="5" s="1"/>
  <c r="O34" i="5" s="1"/>
  <c r="G35" i="5"/>
  <c r="G36" i="5"/>
  <c r="G37" i="5"/>
  <c r="G38" i="5"/>
  <c r="G39" i="5"/>
  <c r="G40" i="5"/>
  <c r="O13" i="5" s="1"/>
  <c r="O40" i="5" s="1"/>
  <c r="G41" i="5"/>
  <c r="G42" i="5"/>
  <c r="G43" i="5"/>
  <c r="G44" i="5"/>
  <c r="G48" i="5"/>
  <c r="G49" i="5"/>
  <c r="G50" i="5"/>
  <c r="G51" i="5"/>
  <c r="G52" i="5"/>
  <c r="F31" i="5"/>
  <c r="F32" i="5"/>
  <c r="F33" i="5"/>
  <c r="F34" i="5"/>
  <c r="F35" i="5"/>
  <c r="F36" i="5"/>
  <c r="F37" i="5"/>
  <c r="F38" i="5"/>
  <c r="F39" i="5"/>
  <c r="N12" i="5" s="1"/>
  <c r="N39" i="5" s="1"/>
  <c r="N40" i="5"/>
  <c r="F41" i="5"/>
  <c r="F42" i="5"/>
  <c r="F43" i="5"/>
  <c r="F44" i="5"/>
  <c r="F48" i="5"/>
  <c r="F49" i="5"/>
  <c r="F50" i="5"/>
  <c r="F51" i="5"/>
  <c r="F52" i="5"/>
  <c r="E31" i="5"/>
  <c r="E32" i="5"/>
  <c r="E33" i="5"/>
  <c r="E34" i="5"/>
  <c r="E35" i="5"/>
  <c r="E36" i="5"/>
  <c r="E37" i="5"/>
  <c r="E38" i="5"/>
  <c r="E39" i="5"/>
  <c r="M12" i="5" s="1"/>
  <c r="M39" i="5" s="1"/>
  <c r="E40" i="5"/>
  <c r="E41" i="5"/>
  <c r="E42" i="5"/>
  <c r="E43" i="5"/>
  <c r="E44" i="5"/>
  <c r="E48" i="5"/>
  <c r="E49" i="5"/>
  <c r="E50" i="5"/>
  <c r="E51" i="5"/>
  <c r="E52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8" i="5"/>
  <c r="D49" i="5"/>
  <c r="D50" i="5"/>
  <c r="D51" i="5"/>
  <c r="D52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8" i="5"/>
  <c r="C49" i="5"/>
  <c r="C50" i="5"/>
  <c r="C51" i="5"/>
  <c r="C52" i="5"/>
  <c r="H30" i="5"/>
  <c r="G30" i="5"/>
  <c r="F30" i="5"/>
  <c r="E30" i="5"/>
  <c r="D30" i="5"/>
  <c r="C30" i="5"/>
  <c r="E22" i="4"/>
  <c r="E23" i="4"/>
  <c r="E24" i="4"/>
  <c r="E25" i="4"/>
  <c r="E26" i="4"/>
  <c r="E27" i="4"/>
  <c r="E28" i="4"/>
  <c r="E29" i="4"/>
  <c r="E30" i="4"/>
  <c r="E31" i="4"/>
  <c r="E32" i="4"/>
  <c r="E33" i="4"/>
  <c r="E21" i="4"/>
  <c r="D23" i="4"/>
  <c r="D24" i="4"/>
  <c r="D25" i="4"/>
  <c r="D26" i="4"/>
  <c r="D27" i="4"/>
  <c r="D28" i="4"/>
  <c r="D29" i="4"/>
  <c r="D30" i="4"/>
  <c r="D31" i="4"/>
  <c r="D32" i="4"/>
  <c r="D33" i="4"/>
  <c r="D22" i="4"/>
  <c r="J22" i="4"/>
  <c r="J23" i="4"/>
  <c r="J24" i="4"/>
  <c r="J25" i="4"/>
  <c r="J21" i="4"/>
  <c r="P22" i="4"/>
  <c r="Q22" i="4" s="1"/>
  <c r="P25" i="4"/>
  <c r="Q25" i="4" s="1"/>
  <c r="P21" i="4"/>
  <c r="Q21" i="4" s="1"/>
  <c r="O25" i="4"/>
  <c r="O21" i="4"/>
  <c r="M23" i="4"/>
  <c r="P23" i="4" s="1"/>
  <c r="Q23" i="4" s="1"/>
  <c r="M24" i="4"/>
  <c r="P24" i="4" s="1"/>
  <c r="Q24" i="4" s="1"/>
  <c r="M25" i="4"/>
  <c r="M22" i="4"/>
  <c r="O22" i="4" s="1"/>
  <c r="I23" i="4"/>
  <c r="I24" i="4"/>
  <c r="I25" i="4"/>
  <c r="I22" i="4"/>
  <c r="N22" i="4"/>
  <c r="N23" i="4"/>
  <c r="N24" i="4"/>
  <c r="N25" i="4"/>
  <c r="N21" i="4"/>
  <c r="E12" i="4"/>
  <c r="E13" i="4"/>
  <c r="E14" i="4"/>
  <c r="E15" i="4"/>
  <c r="E11" i="4"/>
  <c r="D13" i="4"/>
  <c r="D14" i="4"/>
  <c r="D15" i="4"/>
  <c r="D12" i="4"/>
  <c r="E4" i="4"/>
  <c r="E7" i="4"/>
  <c r="E3" i="4"/>
  <c r="D5" i="4"/>
  <c r="E5" i="4" s="1"/>
  <c r="D6" i="4"/>
  <c r="E6" i="4" s="1"/>
  <c r="D7" i="4"/>
  <c r="D4" i="4"/>
  <c r="D3" i="4"/>
  <c r="O24" i="4" l="1"/>
  <c r="O23" i="4"/>
</calcChain>
</file>

<file path=xl/sharedStrings.xml><?xml version="1.0" encoding="utf-8"?>
<sst xmlns="http://schemas.openxmlformats.org/spreadsheetml/2006/main" count="235" uniqueCount="67">
  <si>
    <t>mof</t>
  </si>
  <si>
    <t>h2</t>
  </si>
  <si>
    <t>co2</t>
  </si>
  <si>
    <t xml:space="preserve">∆G (au) </t>
  </si>
  <si>
    <t xml:space="preserve">∆G (eV) </t>
  </si>
  <si>
    <t>image</t>
  </si>
  <si>
    <t>energy (au)</t>
  </si>
  <si>
    <t>au to eV</t>
  </si>
  <si>
    <t>original</t>
  </si>
  <si>
    <t>neb</t>
  </si>
  <si>
    <t>change in final</t>
  </si>
  <si>
    <t>change in x</t>
  </si>
  <si>
    <t>MOF</t>
  </si>
  <si>
    <t>04c1119</t>
  </si>
  <si>
    <t>07c07d3</t>
  </si>
  <si>
    <t>051e081</t>
  </si>
  <si>
    <t>0e64acd</t>
  </si>
  <si>
    <t>150e43b</t>
  </si>
  <si>
    <t>2b10e5e</t>
  </si>
  <si>
    <t>31812e1</t>
  </si>
  <si>
    <t>369e546</t>
  </si>
  <si>
    <t>52ef7e9</t>
  </si>
  <si>
    <t>58f416c</t>
  </si>
  <si>
    <t>74ace65</t>
  </si>
  <si>
    <t>880a9d7</t>
  </si>
  <si>
    <t>8f5113c</t>
  </si>
  <si>
    <t>91692c9</t>
  </si>
  <si>
    <t>b028f18</t>
  </si>
  <si>
    <t>ba25365</t>
  </si>
  <si>
    <t>cd9c899</t>
  </si>
  <si>
    <t>e0d0d89</t>
  </si>
  <si>
    <t>e2d2c46</t>
  </si>
  <si>
    <t>ea9f3ea</t>
  </si>
  <si>
    <t>fbf9a0d</t>
  </si>
  <si>
    <t>9f8e842</t>
  </si>
  <si>
    <t>step0</t>
  </si>
  <si>
    <t>step1</t>
  </si>
  <si>
    <t>step2</t>
  </si>
  <si>
    <t>step3</t>
  </si>
  <si>
    <t>step4</t>
  </si>
  <si>
    <t>step5</t>
  </si>
  <si>
    <t>3fcf6ee</t>
  </si>
  <si>
    <t>dnf</t>
  </si>
  <si>
    <t>h20</t>
  </si>
  <si>
    <t>ch4</t>
  </si>
  <si>
    <t>add carbon</t>
  </si>
  <si>
    <t>add h2</t>
  </si>
  <si>
    <t>add h2 - water</t>
  </si>
  <si>
    <t>Raw Dataset</t>
  </si>
  <si>
    <t>Subtract prior cell as the substrate</t>
  </si>
  <si>
    <t>Added in Molecule addition and subtractions</t>
  </si>
  <si>
    <t>changed values to eV</t>
  </si>
  <si>
    <t>close</t>
  </si>
  <si>
    <t>completed using NEB</t>
  </si>
  <si>
    <t>Final Reaction Energies</t>
  </si>
  <si>
    <t>MOF ID</t>
  </si>
  <si>
    <t>Initial MOF</t>
  </si>
  <si>
    <t>Add CO2</t>
  </si>
  <si>
    <t>Add H2</t>
  </si>
  <si>
    <t>Add H2 Minus Water</t>
  </si>
  <si>
    <t>All Negative</t>
  </si>
  <si>
    <t>Close to All Negative</t>
  </si>
  <si>
    <t>Good Reaction</t>
  </si>
  <si>
    <t>N/A</t>
  </si>
  <si>
    <t>DID NOT FINISH</t>
  </si>
  <si>
    <t>&gt;0eV</t>
  </si>
  <si>
    <t>0-1eV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</si>
</sst>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00000"/>
  </numFmts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49" fontId="0" fillId="0" borderId="4" xfId="0" applyNumberFormat="1" applyBorder="1"/>
    <xf numFmtId="0" fontId="0" fillId="3" borderId="0" xfId="0" applyFill="1" applyBorder="1"/>
    <xf numFmtId="11" fontId="0" fillId="0" borderId="4" xfId="0" applyNumberFormat="1" applyBorder="1"/>
    <xf numFmtId="49" fontId="0" fillId="2" borderId="4" xfId="0" applyNumberFormat="1" applyFill="1" applyBorder="1"/>
    <xf numFmtId="0" fontId="0" fillId="2" borderId="0" xfId="0" applyFill="1" applyBorder="1"/>
    <xf numFmtId="0" fontId="0" fillId="2" borderId="5" xfId="0" applyFill="1" applyBorder="1"/>
    <xf numFmtId="49" fontId="0" fillId="3" borderId="4" xfId="0" applyNumberFormat="1" applyFill="1" applyBorder="1"/>
    <xf numFmtId="0" fontId="0" fillId="3" borderId="5" xfId="0" applyFill="1" applyBorder="1"/>
    <xf numFmtId="49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Materials with</a:t>
            </a:r>
            <a:r>
              <a:rPr lang="en-US" baseline="0"/>
              <a:t> Good Reaction Profiles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Report'!$B$4</c:f>
              <c:strCache>
                <c:ptCount val="1"/>
                <c:pt idx="0">
                  <c:v>04c1119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Report'!$C$33:$H$33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Report'!$C$4:$H$4</c:f>
              <c:numCache>
                <c:formatCode>General</c:formatCode>
                <c:ptCount val="6"/>
                <c:pt idx="0">
                  <c:v>0</c:v>
                </c:pt>
                <c:pt idx="1">
                  <c:v>-0.25176647222928128</c:v>
                </c:pt>
                <c:pt idx="2">
                  <c:v>1.4759500845020111E-2</c:v>
                </c:pt>
                <c:pt idx="3">
                  <c:v>-0.16070771329515601</c:v>
                </c:pt>
                <c:pt idx="4">
                  <c:v>-1.1533340814879811</c:v>
                </c:pt>
                <c:pt idx="5">
                  <c:v>-1.4181580848276925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9A-3842-856E-98BAB0461FBF}"/>
            </c:ext>
          </c:extLst>
        </c:ser>
        <c:ser>
          <c:idx val="1"/>
          <c:order val="1"/>
          <c:tx>
            <c:strRef>
              <c:f>'Data Report'!$B$6</c:f>
              <c:strCache>
                <c:ptCount val="1"/>
                <c:pt idx="0">
                  <c:v>07c07d3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Report'!$C$33:$H$33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Report'!$C$6:$H$6</c:f>
              <c:numCache>
                <c:formatCode>General</c:formatCode>
                <c:ptCount val="6"/>
                <c:pt idx="0">
                  <c:v>0</c:v>
                </c:pt>
                <c:pt idx="1">
                  <c:v>-0.31212803857146643</c:v>
                </c:pt>
                <c:pt idx="2">
                  <c:v>-0.49998227481673729</c:v>
                </c:pt>
                <c:pt idx="3">
                  <c:v>-0.35546719102522112</c:v>
                </c:pt>
                <c:pt idx="4">
                  <c:v>-1.0324100856622549</c:v>
                </c:pt>
                <c:pt idx="5">
                  <c:v>-1.268070929351323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9A-3842-856E-98BAB0461FBF}"/>
            </c:ext>
          </c:extLst>
        </c:ser>
        <c:ser>
          <c:idx val="2"/>
          <c:order val="2"/>
          <c:tx>
            <c:strRef>
              <c:f>'Data Report'!$B$7</c:f>
              <c:strCache>
                <c:ptCount val="1"/>
                <c:pt idx="0">
                  <c:v>0e64acd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Report'!$C$33:$H$33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Report'!$C$7:$H$7</c:f>
              <c:numCache>
                <c:formatCode>General</c:formatCode>
                <c:ptCount val="6"/>
                <c:pt idx="0">
                  <c:v>0</c:v>
                </c:pt>
                <c:pt idx="1">
                  <c:v>-0.23004304084012178</c:v>
                </c:pt>
                <c:pt idx="2">
                  <c:v>-0.6423838213060783</c:v>
                </c:pt>
                <c:pt idx="3">
                  <c:v>-0.28390050233128311</c:v>
                </c:pt>
                <c:pt idx="4">
                  <c:v>-1.194803595725271</c:v>
                </c:pt>
                <c:pt idx="5">
                  <c:v>-1.4853399976738235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9A-3842-856E-98BAB0461FBF}"/>
            </c:ext>
          </c:extLst>
        </c:ser>
        <c:ser>
          <c:idx val="3"/>
          <c:order val="3"/>
          <c:tx>
            <c:strRef>
              <c:f>'Data Report'!$B$13</c:f>
              <c:strCache>
                <c:ptCount val="1"/>
                <c:pt idx="0">
                  <c:v>52ef7e9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Report'!$C$33:$H$33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Report'!$C$13:$H$13</c:f>
              <c:numCache>
                <c:formatCode>General</c:formatCode>
                <c:ptCount val="6"/>
                <c:pt idx="0">
                  <c:v>0</c:v>
                </c:pt>
                <c:pt idx="1">
                  <c:v>0.24768615658747536</c:v>
                </c:pt>
                <c:pt idx="2">
                  <c:v>-0.65439520948044394</c:v>
                </c:pt>
                <c:pt idx="3">
                  <c:v>-1.8111697366003325</c:v>
                </c:pt>
                <c:pt idx="4">
                  <c:v>4.243711139068379E-2</c:v>
                </c:pt>
                <c:pt idx="5">
                  <c:v>0.4237288397646824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9A-3842-856E-98BAB0461FBF}"/>
            </c:ext>
          </c:extLst>
        </c:ser>
        <c:ser>
          <c:idx val="4"/>
          <c:order val="4"/>
          <c:tx>
            <c:strRef>
              <c:f>'Data Report'!$B$15</c:f>
              <c:strCache>
                <c:ptCount val="1"/>
                <c:pt idx="0">
                  <c:v>74ace65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'Data Report'!$C$33:$H$33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Report'!$C$15:$H$15</c:f>
              <c:numCache>
                <c:formatCode>General</c:formatCode>
                <c:ptCount val="6"/>
                <c:pt idx="0">
                  <c:v>0</c:v>
                </c:pt>
                <c:pt idx="1">
                  <c:v>-0.14012388222755648</c:v>
                </c:pt>
                <c:pt idx="2">
                  <c:v>-0.4362231889513925</c:v>
                </c:pt>
                <c:pt idx="3">
                  <c:v>-0.18808692929470744</c:v>
                </c:pt>
                <c:pt idx="4">
                  <c:v>-1.4045817390793767</c:v>
                </c:pt>
                <c:pt idx="5">
                  <c:v>-1.4680560405090961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9A-3842-856E-98BAB0461FBF}"/>
            </c:ext>
          </c:extLst>
        </c:ser>
        <c:ser>
          <c:idx val="5"/>
          <c:order val="5"/>
          <c:tx>
            <c:strRef>
              <c:f>'Data Report'!$B$18</c:f>
              <c:strCache>
                <c:ptCount val="1"/>
                <c:pt idx="0">
                  <c:v>91692c9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Lit>
              <c:ptCount val="1"/>
              <c:pt idx="0">
                <c:v>''Data Report'!$C$33:$H$33</c:v>
              </c:pt>
            </c:strLit>
          </c:xVal>
          <c:yVal>
            <c:numRef>
              <c:f>'Data Report'!$C$18:$H$18</c:f>
              <c:numCache>
                <c:formatCode>General</c:formatCode>
                <c:ptCount val="6"/>
                <c:pt idx="0">
                  <c:v>0</c:v>
                </c:pt>
                <c:pt idx="1">
                  <c:v>-0.25014736892504119</c:v>
                </c:pt>
                <c:pt idx="2">
                  <c:v>-0.52421694212850134</c:v>
                </c:pt>
                <c:pt idx="3">
                  <c:v>-0.54862826383831653</c:v>
                </c:pt>
                <c:pt idx="4">
                  <c:v>-0.81301089310093433</c:v>
                </c:pt>
                <c:pt idx="5">
                  <c:v>-1.3887721299744233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9A-3842-856E-98BAB0461FBF}"/>
            </c:ext>
          </c:extLst>
        </c:ser>
        <c:ser>
          <c:idx val="6"/>
          <c:order val="6"/>
          <c:tx>
            <c:strRef>
              <c:f>'Data Report'!$B$19</c:f>
              <c:strCache>
                <c:ptCount val="1"/>
                <c:pt idx="0">
                  <c:v>9f8e842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Lit>
              <c:ptCount val="1"/>
              <c:pt idx="0">
                <c:v>''Data Report'!$C$33:$H$33</c:v>
              </c:pt>
            </c:strLit>
          </c:xVal>
          <c:yVal>
            <c:numRef>
              <c:f>'Data Report'!$C$19:$H$19</c:f>
              <c:numCache>
                <c:formatCode>General</c:formatCode>
                <c:ptCount val="6"/>
                <c:pt idx="0">
                  <c:v>0</c:v>
                </c:pt>
                <c:pt idx="1">
                  <c:v>-0.32592454141506738</c:v>
                </c:pt>
                <c:pt idx="2">
                  <c:v>-0.21179507895658345</c:v>
                </c:pt>
                <c:pt idx="3">
                  <c:v>-0.93760140234894318</c:v>
                </c:pt>
                <c:pt idx="4">
                  <c:v>-0.11681498783205262</c:v>
                </c:pt>
                <c:pt idx="5">
                  <c:v>-1.4126787927002216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9A-3842-856E-98BAB0461FBF}"/>
            </c:ext>
          </c:extLst>
        </c:ser>
        <c:ser>
          <c:idx val="7"/>
          <c:order val="7"/>
          <c:tx>
            <c:strRef>
              <c:f>'Data Report'!$B$25</c:f>
              <c:strCache>
                <c:ptCount val="1"/>
                <c:pt idx="0">
                  <c:v>ea9f3ea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Lit>
              <c:ptCount val="1"/>
              <c:pt idx="0">
                <c:v>''Data Report'!$C$33:$H$33</c:v>
              </c:pt>
            </c:strLit>
          </c:xVal>
          <c:yVal>
            <c:numRef>
              <c:f>'Data Report'!$C$25:$H$25</c:f>
              <c:numCache>
                <c:formatCode>General</c:formatCode>
                <c:ptCount val="6"/>
                <c:pt idx="0">
                  <c:v>0</c:v>
                </c:pt>
                <c:pt idx="1">
                  <c:v>-0.15927831764329597</c:v>
                </c:pt>
                <c:pt idx="2">
                  <c:v>-0.48223282611395524</c:v>
                </c:pt>
                <c:pt idx="3">
                  <c:v>-0.14650970236139138</c:v>
                </c:pt>
                <c:pt idx="4">
                  <c:v>-1.1275652439037802</c:v>
                </c:pt>
                <c:pt idx="5">
                  <c:v>-1.482233630065062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9A-3842-856E-98BAB046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27040"/>
        <c:axId val="979447584"/>
      </c:scatterChart>
      <c:valAx>
        <c:axId val="9795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47584"/>
        <c:crosses val="autoZero"/>
        <c:crossBetween val="midCat"/>
      </c:valAx>
      <c:valAx>
        <c:axId val="9794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2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'9f8e842 NEB Testing'!$D$36:$D$48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'9f8e842 NEB Testing'!$E$36:$E$48</c:f>
              <c:numCache>
                <c:formatCode>General</c:formatCode>
                <c:ptCount val="13"/>
                <c:pt idx="0">
                  <c:v>0</c:v>
                </c:pt>
                <c:pt idx="1">
                  <c:v>2.2198000000003049E-2</c:v>
                </c:pt>
                <c:pt idx="2">
                  <c:v>-5.8399999999210195E-3</c:v>
                </c:pt>
                <c:pt idx="3">
                  <c:v>1.6969999999218999E-3</c:v>
                </c:pt>
                <c:pt idx="4">
                  <c:v>-2.6641999999924337E-2</c:v>
                </c:pt>
                <c:pt idx="5">
                  <c:v>4.5129999999744541E-3</c:v>
                </c:pt>
                <c:pt idx="6">
                  <c:v>7.9600000003665627E-4</c:v>
                </c:pt>
                <c:pt idx="7">
                  <c:v>4.0619999999762513E-3</c:v>
                </c:pt>
                <c:pt idx="8">
                  <c:v>-5.1915000000008149E-2</c:v>
                </c:pt>
                <c:pt idx="9">
                  <c:v>1.165800000001127E-2</c:v>
                </c:pt>
                <c:pt idx="10">
                  <c:v>0.12416099999995822</c:v>
                </c:pt>
                <c:pt idx="11">
                  <c:v>-0.17176199999994424</c:v>
                </c:pt>
                <c:pt idx="12">
                  <c:v>3.94699999999375E-2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2A-1B42-AC3D-0A914808D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963984"/>
        <c:axId val="452624432"/>
      </c:scatterChart>
      <c:valAx>
        <c:axId val="10889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24432"/>
        <c:crosses val="autoZero"/>
        <c:crossBetween val="midCat"/>
      </c:valAx>
      <c:valAx>
        <c:axId val="4526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9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'9f8e842 NEB Testing'!$G$36:$G$48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'9f8e842 NEB Testing'!$H$36:$H$48</c:f>
              <c:numCache>
                <c:formatCode>General</c:formatCode>
                <c:ptCount val="13"/>
                <c:pt idx="0">
                  <c:v>0</c:v>
                </c:pt>
                <c:pt idx="1">
                  <c:v>0.60403821324008289</c:v>
                </c:pt>
                <c:pt idx="2">
                  <c:v>-0.15891445919785083</c:v>
                </c:pt>
                <c:pt idx="3">
                  <c:v>4.6177711857874788E-2</c:v>
                </c:pt>
                <c:pt idx="4">
                  <c:v>-0.72496558595794103</c:v>
                </c:pt>
                <c:pt idx="5">
                  <c:v>0.12280495793930485</c:v>
                </c:pt>
                <c:pt idx="6">
                  <c:v>2.1660258480997466E-2</c:v>
                </c:pt>
                <c:pt idx="7">
                  <c:v>0.11053262555935375</c:v>
                </c:pt>
                <c:pt idx="8">
                  <c:v>-1.4126787927002216</c:v>
                </c:pt>
                <c:pt idx="9">
                  <c:v>0.31723026804030668</c:v>
                </c:pt>
                <c:pt idx="10">
                  <c:v>3.3785921521788631</c:v>
                </c:pt>
                <c:pt idx="11">
                  <c:v>-4.6738810515584825</c:v>
                </c:pt>
                <c:pt idx="12">
                  <c:v>1.0740331685982991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DD-5D41-9111-BC82DE34F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72832"/>
        <c:axId val="1084575104"/>
      </c:scatterChart>
      <c:valAx>
        <c:axId val="10845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75104"/>
        <c:crosses val="autoZero"/>
        <c:crossBetween val="midCat"/>
      </c:valAx>
      <c:valAx>
        <c:axId val="10845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7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27</xdr:row>
      <xdr:rowOff>0</xdr:rowOff>
    </xdr:from>
    <xdr:to>
      <xdr:col>11</xdr:col>
      <xdr:colOff>12700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3CB31-9F06-1CFF-AA98-641F61028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234950</xdr:colOff>
      <xdr:row>30</xdr:row>
      <xdr:rowOff>44450</xdr:rowOff>
    </xdr:from>
    <xdr:to>
      <xdr:col>14</xdr:col>
      <xdr:colOff>577850</xdr:colOff>
      <xdr:row>43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91C3B-96EF-4321-B2E5-4D1265B73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222250</xdr:colOff>
      <xdr:row>44</xdr:row>
      <xdr:rowOff>82550</xdr:rowOff>
    </xdr:from>
    <xdr:to>
      <xdr:col>14</xdr:col>
      <xdr:colOff>565150</xdr:colOff>
      <xdr:row>57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59FC7-FE65-B3CD-FA9B-DC3051232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1857-9B4D-804C-AF3F-7F754C084395}">
  <dimension ref="B1:K33"/>
  <sheetViews>
    <sheetView tabSelected="1" workbookViewId="0">
      <selection activeCell="B26" sqref="B26"/>
    </sheetView>
  </sheetViews>
  <sheetFormatPr baseColWidth="10" defaultRowHeight="16" x14ac:dyDescent="0.2"/>
  <cols>
    <col min="1" max="1" width="10.83203125" customWidth="1"/>
    <col min="2" max="2" width="12" customWidth="1"/>
    <col min="3" max="3" width="10.33203125" bestFit="1" customWidth="1"/>
    <col min="4" max="6" width="12.83203125" bestFit="1" customWidth="1"/>
    <col min="7" max="7" width="18.33203125" bestFit="1" customWidth="1"/>
    <col min="8" max="8" width="16.33203125" customWidth="1"/>
    <col min="9" max="9" width="12.83203125" customWidth="1"/>
    <col min="10" max="10" width="22" customWidth="1"/>
    <col min="11" max="11" width="16" customWidth="1"/>
  </cols>
  <sheetData>
    <row r="1" spans="2:11" ht="17" thickBot="1" x14ac:dyDescent="0.25"/>
    <row r="2" spans="2:11" ht="17" thickBot="1" x14ac:dyDescent="0.25">
      <c r="B2" s="40" t="s">
        <v>54</v>
      </c>
      <c r="C2" s="41"/>
      <c r="D2" s="41"/>
      <c r="E2" s="41"/>
      <c r="F2" s="41"/>
      <c r="G2" s="41"/>
      <c r="H2" s="41"/>
      <c r="I2" s="41"/>
      <c r="J2" s="41"/>
      <c r="K2" s="42"/>
    </row>
    <row r="3" spans="2:11" ht="17" thickBot="1" x14ac:dyDescent="0.25">
      <c r="B3" s="38" t="s">
        <v>55</v>
      </c>
      <c r="C3" s="39" t="s">
        <v>56</v>
      </c>
      <c r="D3" s="39" t="s">
        <v>57</v>
      </c>
      <c r="E3" s="39" t="s">
        <v>58</v>
      </c>
      <c r="F3" s="39" t="s">
        <v>58</v>
      </c>
      <c r="G3" s="39" t="s">
        <v>59</v>
      </c>
      <c r="H3" s="43" t="s">
        <v>58</v>
      </c>
      <c r="I3" s="51" t="s">
        <v>65</v>
      </c>
      <c r="J3" s="52" t="s">
        <v>66</v>
      </c>
      <c r="K3" s="27" t="s">
        <v>62</v>
      </c>
    </row>
    <row r="4" spans="2:11" x14ac:dyDescent="0.2">
      <c r="B4" s="36" t="s">
        <v>13</v>
      </c>
      <c r="C4" s="37">
        <v>0</v>
      </c>
      <c r="D4" s="37">
        <v>-0.25176647222928128</v>
      </c>
      <c r="E4" s="37">
        <v>1.4759500845020111E-2</v>
      </c>
      <c r="F4" s="37">
        <v>-0.16070771329515601</v>
      </c>
      <c r="G4" s="37">
        <v>-1.1533340814879811</v>
      </c>
      <c r="H4" s="44">
        <v>-1.4181580848276925</v>
      </c>
      <c r="I4" s="36" t="b">
        <v>0</v>
      </c>
      <c r="J4" s="53" t="b">
        <v>1</v>
      </c>
      <c r="K4" s="48" t="b">
        <v>1</v>
      </c>
    </row>
    <row r="5" spans="2:11" x14ac:dyDescent="0.2">
      <c r="B5" s="30" t="s">
        <v>15</v>
      </c>
      <c r="C5" s="28">
        <v>0</v>
      </c>
      <c r="D5" s="28">
        <v>-5.577977669362838E-2</v>
      </c>
      <c r="E5" s="28">
        <v>-9.2990839607799164E-2</v>
      </c>
      <c r="F5" s="28">
        <v>1.639343357292584</v>
      </c>
      <c r="G5" s="28">
        <v>-2.7412333982552357</v>
      </c>
      <c r="H5" s="45">
        <v>-0.55669344633135165</v>
      </c>
      <c r="I5" s="30" t="b">
        <v>0</v>
      </c>
      <c r="J5" s="31" t="b">
        <v>0</v>
      </c>
      <c r="K5" s="55" t="b">
        <v>0</v>
      </c>
    </row>
    <row r="6" spans="2:11" x14ac:dyDescent="0.2">
      <c r="B6" s="30" t="s">
        <v>14</v>
      </c>
      <c r="C6" s="28">
        <v>0</v>
      </c>
      <c r="D6" s="28">
        <v>-0.31212803857146643</v>
      </c>
      <c r="E6" s="28">
        <v>-0.49998227481673729</v>
      </c>
      <c r="F6" s="28">
        <v>-0.35546719102522112</v>
      </c>
      <c r="G6" s="28">
        <v>-1.0324100856622549</v>
      </c>
      <c r="H6" s="45">
        <v>-1.268070929351323</v>
      </c>
      <c r="I6" s="30" t="b">
        <v>1</v>
      </c>
      <c r="J6" s="31" t="b">
        <v>0</v>
      </c>
      <c r="K6" s="49" t="b">
        <v>1</v>
      </c>
    </row>
    <row r="7" spans="2:11" x14ac:dyDescent="0.2">
      <c r="B7" s="30" t="s">
        <v>16</v>
      </c>
      <c r="C7" s="28">
        <v>0</v>
      </c>
      <c r="D7" s="28">
        <v>-0.23004304084012178</v>
      </c>
      <c r="E7" s="28">
        <v>-0.6423838213060783</v>
      </c>
      <c r="F7" s="28">
        <v>-0.28390050233128311</v>
      </c>
      <c r="G7" s="28">
        <v>-1.194803595725271</v>
      </c>
      <c r="H7" s="45">
        <v>-1.4853399976738235</v>
      </c>
      <c r="I7" s="30" t="b">
        <v>1</v>
      </c>
      <c r="J7" s="31" t="b">
        <v>0</v>
      </c>
      <c r="K7" s="49" t="b">
        <v>1</v>
      </c>
    </row>
    <row r="8" spans="2:11" x14ac:dyDescent="0.2">
      <c r="B8" s="30" t="s">
        <v>17</v>
      </c>
      <c r="C8" s="28">
        <v>0</v>
      </c>
      <c r="D8" s="28">
        <v>2.2897056223771739</v>
      </c>
      <c r="E8" s="28">
        <v>-0.60601993721118963</v>
      </c>
      <c r="F8" s="28">
        <v>-1.3311731221656078</v>
      </c>
      <c r="G8" s="28">
        <v>-1.0201253946142013</v>
      </c>
      <c r="H8" s="45">
        <v>-1.0432758872922649</v>
      </c>
      <c r="I8" s="30" t="b">
        <v>0</v>
      </c>
      <c r="J8" s="31" t="b">
        <v>0</v>
      </c>
      <c r="K8" s="55" t="b">
        <v>0</v>
      </c>
    </row>
    <row r="9" spans="2:11" x14ac:dyDescent="0.2">
      <c r="B9" s="30" t="s">
        <v>18</v>
      </c>
      <c r="C9" s="28">
        <v>0</v>
      </c>
      <c r="D9" s="28">
        <v>1.3412842576320696</v>
      </c>
      <c r="E9" s="28">
        <v>1.837329363000527</v>
      </c>
      <c r="F9" s="28">
        <v>-1.123851204373816</v>
      </c>
      <c r="G9" s="28">
        <v>-1.4645293066367893</v>
      </c>
      <c r="H9" s="45">
        <v>-1.9579528713240217</v>
      </c>
      <c r="I9" s="30" t="b">
        <v>0</v>
      </c>
      <c r="J9" s="31" t="b">
        <v>0</v>
      </c>
      <c r="K9" s="55" t="b">
        <v>0</v>
      </c>
    </row>
    <row r="10" spans="2:11" x14ac:dyDescent="0.2">
      <c r="B10" s="30" t="s">
        <v>19</v>
      </c>
      <c r="C10" s="28">
        <v>0</v>
      </c>
      <c r="D10" s="28">
        <v>-2.5647491193423577</v>
      </c>
      <c r="E10" s="28">
        <v>2.4430618374990076</v>
      </c>
      <c r="F10" s="28">
        <v>1.3716385173022803</v>
      </c>
      <c r="G10" s="28">
        <v>-2.4764724992380516</v>
      </c>
      <c r="H10" s="45">
        <v>-1.8448867521339385</v>
      </c>
      <c r="I10" s="30" t="b">
        <v>0</v>
      </c>
      <c r="J10" s="31" t="b">
        <v>0</v>
      </c>
      <c r="K10" s="55" t="b">
        <v>0</v>
      </c>
    </row>
    <row r="11" spans="2:11" x14ac:dyDescent="0.2">
      <c r="B11" s="30" t="s">
        <v>20</v>
      </c>
      <c r="C11" s="28">
        <v>0</v>
      </c>
      <c r="D11" s="28">
        <v>2.2048113955707329</v>
      </c>
      <c r="E11" s="28">
        <v>-1.643986235625813</v>
      </c>
      <c r="F11" s="28">
        <v>-0.39980454843806063</v>
      </c>
      <c r="G11" s="28">
        <v>0.49885203415805646</v>
      </c>
      <c r="H11" s="45">
        <v>-3.0729406105694177</v>
      </c>
      <c r="I11" s="30" t="b">
        <v>0</v>
      </c>
      <c r="J11" s="31" t="b">
        <v>0</v>
      </c>
      <c r="K11" s="55" t="b">
        <v>0</v>
      </c>
    </row>
    <row r="12" spans="2:11" x14ac:dyDescent="0.2">
      <c r="B12" s="30" t="s">
        <v>41</v>
      </c>
      <c r="C12" s="28">
        <v>0</v>
      </c>
      <c r="D12" s="28">
        <v>2.1213556594771052</v>
      </c>
      <c r="E12" s="28">
        <v>1.3989457767290441</v>
      </c>
      <c r="F12" s="28">
        <v>-1.6779609313058388</v>
      </c>
      <c r="G12" s="28">
        <v>-0.79521334664112864</v>
      </c>
      <c r="H12" s="45">
        <v>-2.9142117572879402</v>
      </c>
      <c r="I12" s="30" t="b">
        <v>0</v>
      </c>
      <c r="J12" s="31" t="b">
        <v>0</v>
      </c>
      <c r="K12" s="55" t="b">
        <v>0</v>
      </c>
    </row>
    <row r="13" spans="2:11" x14ac:dyDescent="0.2">
      <c r="B13" s="30" t="s">
        <v>21</v>
      </c>
      <c r="C13" s="28">
        <v>0</v>
      </c>
      <c r="D13" s="28">
        <v>0.24768615658747536</v>
      </c>
      <c r="E13" s="28">
        <v>-0.65439520948044394</v>
      </c>
      <c r="F13" s="28">
        <v>-1.8111697366003325</v>
      </c>
      <c r="G13" s="28">
        <v>4.243711139068379E-2</v>
      </c>
      <c r="H13" s="45">
        <v>0.4237288397646824</v>
      </c>
      <c r="I13" s="30" t="b">
        <v>0</v>
      </c>
      <c r="J13" s="31" t="b">
        <v>1</v>
      </c>
      <c r="K13" s="49" t="b">
        <v>1</v>
      </c>
    </row>
    <row r="14" spans="2:11" x14ac:dyDescent="0.2">
      <c r="B14" s="30" t="s">
        <v>22</v>
      </c>
      <c r="C14" s="28">
        <v>0</v>
      </c>
      <c r="D14" s="28">
        <v>-8.2367092444786183E-2</v>
      </c>
      <c r="E14" s="28">
        <v>-0.13074519460025905</v>
      </c>
      <c r="F14" s="28">
        <v>71.085499160886769</v>
      </c>
      <c r="G14" s="28">
        <v>-72.21913361528182</v>
      </c>
      <c r="H14" s="45">
        <v>-1.6324883014666791</v>
      </c>
      <c r="I14" s="30" t="b">
        <v>0</v>
      </c>
      <c r="J14" s="31" t="b">
        <v>0</v>
      </c>
      <c r="K14" s="55" t="b">
        <v>0</v>
      </c>
    </row>
    <row r="15" spans="2:11" x14ac:dyDescent="0.2">
      <c r="B15" s="30" t="s">
        <v>23</v>
      </c>
      <c r="C15" s="28">
        <v>0</v>
      </c>
      <c r="D15" s="28">
        <v>-0.14012388222755648</v>
      </c>
      <c r="E15" s="28">
        <v>-0.4362231889513925</v>
      </c>
      <c r="F15" s="28">
        <v>-0.18808692929470744</v>
      </c>
      <c r="G15" s="28">
        <v>-1.4045817390793767</v>
      </c>
      <c r="H15" s="45">
        <v>-1.4680560405090961</v>
      </c>
      <c r="I15" s="30" t="b">
        <v>1</v>
      </c>
      <c r="J15" s="31" t="b">
        <v>0</v>
      </c>
      <c r="K15" s="49" t="b">
        <v>1</v>
      </c>
    </row>
    <row r="16" spans="2:11" x14ac:dyDescent="0.2">
      <c r="B16" s="30" t="s">
        <v>24</v>
      </c>
      <c r="C16" s="28">
        <v>0</v>
      </c>
      <c r="D16" s="28">
        <v>3.0824735714123865</v>
      </c>
      <c r="E16" s="28">
        <v>0.32373409600956787</v>
      </c>
      <c r="F16" s="28">
        <v>-0.71846790008614736</v>
      </c>
      <c r="G16" s="28">
        <v>-1.9158754493292693</v>
      </c>
      <c r="H16" s="45">
        <v>0.43943651395394617</v>
      </c>
      <c r="I16" s="30" t="b">
        <v>0</v>
      </c>
      <c r="J16" s="31" t="b">
        <v>0</v>
      </c>
      <c r="K16" s="55" t="b">
        <v>0</v>
      </c>
    </row>
    <row r="17" spans="2:11" x14ac:dyDescent="0.2">
      <c r="B17" s="30" t="s">
        <v>25</v>
      </c>
      <c r="C17" s="28">
        <v>0</v>
      </c>
      <c r="D17" s="28">
        <v>5.3256290287717585</v>
      </c>
      <c r="E17" s="28">
        <v>-6.1747273753822682</v>
      </c>
      <c r="F17" s="28">
        <v>7.7019087659467589</v>
      </c>
      <c r="G17" s="28">
        <v>-5.4031380421865816</v>
      </c>
      <c r="H17" s="45">
        <v>-4.7696781016477861</v>
      </c>
      <c r="I17" s="30" t="b">
        <v>0</v>
      </c>
      <c r="J17" s="31" t="b">
        <v>0</v>
      </c>
      <c r="K17" s="55" t="b">
        <v>0</v>
      </c>
    </row>
    <row r="18" spans="2:11" x14ac:dyDescent="0.2">
      <c r="B18" s="30" t="s">
        <v>26</v>
      </c>
      <c r="C18" s="28">
        <v>0</v>
      </c>
      <c r="D18" s="28">
        <v>-0.25014736892504119</v>
      </c>
      <c r="E18" s="28">
        <v>-0.52421694212850134</v>
      </c>
      <c r="F18" s="28">
        <v>-0.54862826383831653</v>
      </c>
      <c r="G18" s="28">
        <v>-0.81301089310093433</v>
      </c>
      <c r="H18" s="45">
        <v>-1.3887721299744233</v>
      </c>
      <c r="I18" s="30" t="b">
        <v>1</v>
      </c>
      <c r="J18" s="31" t="b">
        <v>0</v>
      </c>
      <c r="K18" s="49" t="b">
        <v>1</v>
      </c>
    </row>
    <row r="19" spans="2:11" x14ac:dyDescent="0.2">
      <c r="B19" s="30" t="s">
        <v>34</v>
      </c>
      <c r="C19" s="28">
        <v>0</v>
      </c>
      <c r="D19" s="28">
        <v>-0.32592454141506738</v>
      </c>
      <c r="E19" s="28">
        <v>-0.21179507895658345</v>
      </c>
      <c r="F19" s="28">
        <v>-0.93760140234894318</v>
      </c>
      <c r="G19" s="28">
        <v>-0.11681498783205262</v>
      </c>
      <c r="H19" s="45">
        <v>-1.4126787927002216</v>
      </c>
      <c r="I19" s="30" t="b">
        <v>1</v>
      </c>
      <c r="J19" s="31" t="b">
        <v>0</v>
      </c>
      <c r="K19" s="49" t="b">
        <v>1</v>
      </c>
    </row>
    <row r="20" spans="2:11" x14ac:dyDescent="0.2">
      <c r="B20" s="30" t="s">
        <v>27</v>
      </c>
      <c r="C20" s="29" t="s">
        <v>64</v>
      </c>
      <c r="D20" s="29"/>
      <c r="E20" s="29"/>
      <c r="F20" s="29"/>
      <c r="G20" s="29"/>
      <c r="H20" s="46"/>
      <c r="I20" s="54" t="s">
        <v>63</v>
      </c>
      <c r="J20" s="32" t="s">
        <v>63</v>
      </c>
      <c r="K20" s="50" t="s">
        <v>63</v>
      </c>
    </row>
    <row r="21" spans="2:11" x14ac:dyDescent="0.2">
      <c r="B21" s="30" t="s">
        <v>28</v>
      </c>
      <c r="C21" s="29" t="s">
        <v>64</v>
      </c>
      <c r="D21" s="29"/>
      <c r="E21" s="29"/>
      <c r="F21" s="29"/>
      <c r="G21" s="29"/>
      <c r="H21" s="46"/>
      <c r="I21" s="54" t="s">
        <v>63</v>
      </c>
      <c r="J21" s="32" t="s">
        <v>63</v>
      </c>
      <c r="K21" s="50" t="s">
        <v>63</v>
      </c>
    </row>
    <row r="22" spans="2:11" x14ac:dyDescent="0.2">
      <c r="B22" s="30" t="s">
        <v>29</v>
      </c>
      <c r="C22" s="28">
        <v>0</v>
      </c>
      <c r="D22" s="28">
        <v>5.5996500282458532</v>
      </c>
      <c r="E22" s="28">
        <v>-5.1452521185277966</v>
      </c>
      <c r="F22" s="28">
        <v>-0.3802384482205276</v>
      </c>
      <c r="G22" s="28">
        <v>-1.1463573075903557</v>
      </c>
      <c r="H22" s="45">
        <v>-1.7886959314010649</v>
      </c>
      <c r="I22" s="30" t="b">
        <v>0</v>
      </c>
      <c r="J22" s="31" t="b">
        <v>0</v>
      </c>
      <c r="K22" s="55" t="b">
        <v>0</v>
      </c>
    </row>
    <row r="23" spans="2:11" x14ac:dyDescent="0.2">
      <c r="B23" s="30" t="s">
        <v>30</v>
      </c>
      <c r="C23" s="28">
        <v>0</v>
      </c>
      <c r="D23" s="28">
        <v>2.4650282900839735</v>
      </c>
      <c r="E23" s="28">
        <v>-0.91897257114672992</v>
      </c>
      <c r="F23" s="28">
        <v>-1.6976239505184874</v>
      </c>
      <c r="G23" s="28">
        <v>-0.99254773026565346</v>
      </c>
      <c r="H23" s="45">
        <v>-1.2470786506719225</v>
      </c>
      <c r="I23" s="30" t="b">
        <v>0</v>
      </c>
      <c r="J23" s="31" t="b">
        <v>0</v>
      </c>
      <c r="K23" s="55" t="b">
        <v>0</v>
      </c>
    </row>
    <row r="24" spans="2:11" x14ac:dyDescent="0.2">
      <c r="B24" s="30" t="s">
        <v>31</v>
      </c>
      <c r="C24" s="28">
        <v>0</v>
      </c>
      <c r="D24" s="28">
        <v>-0.12986582421975129</v>
      </c>
      <c r="E24" s="28">
        <v>1.3195889224373849</v>
      </c>
      <c r="F24" s="28">
        <v>-1.6472067021932897</v>
      </c>
      <c r="G24" s="28">
        <v>-0.85154714300021883</v>
      </c>
      <c r="H24" s="45">
        <v>-1.3493458417910478</v>
      </c>
      <c r="I24" s="30" t="b">
        <v>0</v>
      </c>
      <c r="J24" s="31" t="b">
        <v>0</v>
      </c>
      <c r="K24" s="55" t="b">
        <v>0</v>
      </c>
    </row>
    <row r="25" spans="2:11" x14ac:dyDescent="0.2">
      <c r="B25" s="30" t="s">
        <v>32</v>
      </c>
      <c r="C25" s="28">
        <v>0</v>
      </c>
      <c r="D25" s="28">
        <v>-0.15927831764329597</v>
      </c>
      <c r="E25" s="28">
        <v>-0.48223282611395524</v>
      </c>
      <c r="F25" s="28">
        <v>-0.14650970236139138</v>
      </c>
      <c r="G25" s="28">
        <v>-1.1275652439037802</v>
      </c>
      <c r="H25" s="45">
        <v>-1.482233630065062</v>
      </c>
      <c r="I25" s="30" t="b">
        <v>1</v>
      </c>
      <c r="J25" s="31" t="b">
        <v>0</v>
      </c>
      <c r="K25" s="49" t="b">
        <v>1</v>
      </c>
    </row>
    <row r="26" spans="2:11" ht="17" thickBot="1" x14ac:dyDescent="0.25">
      <c r="B26" s="33" t="s">
        <v>33</v>
      </c>
      <c r="C26" s="34">
        <v>0</v>
      </c>
      <c r="D26" s="34">
        <v>4.7875721189680416</v>
      </c>
      <c r="E26" s="34">
        <v>-5.2228665246832877</v>
      </c>
      <c r="F26" s="34">
        <v>3.7813667797022839</v>
      </c>
      <c r="G26" s="34">
        <v>-4.9273068644218103</v>
      </c>
      <c r="H26" s="47">
        <v>-1.4575715815663404</v>
      </c>
      <c r="I26" s="33" t="b">
        <v>0</v>
      </c>
      <c r="J26" s="35" t="b">
        <v>0</v>
      </c>
      <c r="K26" s="56" t="b">
        <v>0</v>
      </c>
    </row>
    <row r="33" spans="3:8" x14ac:dyDescent="0.2"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</row>
  </sheetData>
  <mergeCells count="3">
    <mergeCell ref="B2:K2"/>
    <mergeCell ref="C20:H20"/>
    <mergeCell ref="C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076B-7919-1643-94C0-40CF813DEAC9}">
  <dimension ref="B1:AA57"/>
  <sheetViews>
    <sheetView topLeftCell="A2" zoomScale="120" zoomScaleNormal="120" workbookViewId="0">
      <selection activeCell="F16" sqref="F16:G16"/>
    </sheetView>
  </sheetViews>
  <sheetFormatPr baseColWidth="10" defaultRowHeight="16" x14ac:dyDescent="0.2"/>
  <cols>
    <col min="7" max="7" width="13.5" customWidth="1"/>
    <col min="8" max="8" width="14.33203125" customWidth="1"/>
    <col min="23" max="23" width="18.5" customWidth="1"/>
    <col min="26" max="26" width="17.5" customWidth="1"/>
    <col min="27" max="27" width="13.1640625" customWidth="1"/>
  </cols>
  <sheetData>
    <row r="1" spans="2:27" ht="17" thickBot="1" x14ac:dyDescent="0.25"/>
    <row r="2" spans="2:27" ht="17" thickBot="1" x14ac:dyDescent="0.25">
      <c r="B2" s="5" t="s">
        <v>48</v>
      </c>
      <c r="C2" s="6"/>
      <c r="D2" s="6"/>
      <c r="E2" s="6"/>
      <c r="F2" s="6"/>
      <c r="G2" s="6"/>
      <c r="H2" s="7"/>
      <c r="J2" s="5" t="s">
        <v>50</v>
      </c>
      <c r="K2" s="6"/>
      <c r="L2" s="6"/>
      <c r="M2" s="6"/>
      <c r="N2" s="6"/>
      <c r="O2" s="6"/>
      <c r="P2" s="7"/>
      <c r="R2" s="40" t="s">
        <v>54</v>
      </c>
      <c r="S2" s="41"/>
      <c r="T2" s="41"/>
      <c r="U2" s="41"/>
      <c r="V2" s="41"/>
      <c r="W2" s="41"/>
      <c r="X2" s="41"/>
      <c r="Y2" s="41"/>
      <c r="Z2" s="41"/>
      <c r="AA2" s="42"/>
    </row>
    <row r="3" spans="2:27" ht="17" thickBot="1" x14ac:dyDescent="0.25">
      <c r="B3" s="8"/>
      <c r="C3" s="9" t="s">
        <v>0</v>
      </c>
      <c r="D3" s="9" t="s">
        <v>45</v>
      </c>
      <c r="E3" s="9" t="s">
        <v>46</v>
      </c>
      <c r="F3" s="9" t="s">
        <v>46</v>
      </c>
      <c r="G3" s="9" t="s">
        <v>47</v>
      </c>
      <c r="H3" s="10" t="s">
        <v>47</v>
      </c>
      <c r="J3" s="11" t="s">
        <v>13</v>
      </c>
      <c r="K3" s="9">
        <f>C30</f>
        <v>0</v>
      </c>
      <c r="L3" s="9">
        <f>D30-$C$56</f>
        <v>-9.2527185677795387E-3</v>
      </c>
      <c r="M3" s="9">
        <f>E30-$C$55</f>
        <v>5.4242928500625176E-4</v>
      </c>
      <c r="N3" s="9">
        <f>F30-$C$55</f>
        <v>-5.9062004151104741E-3</v>
      </c>
      <c r="O3" s="9">
        <f>G30+$C$54-$C$55</f>
        <v>-4.238640505284752E-2</v>
      </c>
      <c r="P3" s="10">
        <f>H30-$C$55</f>
        <v>-5.2119003485030957E-2</v>
      </c>
      <c r="R3" s="38" t="s">
        <v>55</v>
      </c>
      <c r="S3" s="39" t="s">
        <v>56</v>
      </c>
      <c r="T3" s="39" t="s">
        <v>57</v>
      </c>
      <c r="U3" s="39" t="s">
        <v>58</v>
      </c>
      <c r="V3" s="39" t="s">
        <v>58</v>
      </c>
      <c r="W3" s="39" t="s">
        <v>59</v>
      </c>
      <c r="X3" s="43" t="s">
        <v>58</v>
      </c>
      <c r="Y3" s="51" t="s">
        <v>60</v>
      </c>
      <c r="Z3" s="52" t="s">
        <v>61</v>
      </c>
      <c r="AA3" s="27" t="s">
        <v>62</v>
      </c>
    </row>
    <row r="4" spans="2:27" x14ac:dyDescent="0.2">
      <c r="B4" s="8" t="s">
        <v>12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10" t="s">
        <v>40</v>
      </c>
      <c r="J4" s="11" t="s">
        <v>15</v>
      </c>
      <c r="K4" s="9">
        <f>C31</f>
        <v>0</v>
      </c>
      <c r="L4" s="9">
        <f>D31-$C$56</f>
        <v>-2.0499734176269158E-3</v>
      </c>
      <c r="M4" s="9">
        <f>E31-$C$55</f>
        <v>-3.417524425130436E-3</v>
      </c>
      <c r="N4" s="9">
        <f>F31-$C$55</f>
        <v>6.0247826434861596E-2</v>
      </c>
      <c r="O4" s="9">
        <f>G31+$C$54-$C$55</f>
        <v>-0.10074360155293038</v>
      </c>
      <c r="P4" s="10">
        <f>H31-$C$55</f>
        <v>-2.0459149075022109E-2</v>
      </c>
      <c r="R4" s="36" t="s">
        <v>13</v>
      </c>
      <c r="S4" s="37">
        <v>0</v>
      </c>
      <c r="T4" s="37">
        <v>-0.25176647222928128</v>
      </c>
      <c r="U4" s="37">
        <v>1.4759500845020111E-2</v>
      </c>
      <c r="V4" s="37">
        <v>-0.16070771329515601</v>
      </c>
      <c r="W4" s="37">
        <v>-1.1533340814879811</v>
      </c>
      <c r="X4" s="44">
        <v>-1.4181580848276925</v>
      </c>
      <c r="Y4" s="36" t="b">
        <v>0</v>
      </c>
      <c r="Z4" s="53" t="b">
        <v>1</v>
      </c>
      <c r="AA4" s="48" t="b">
        <v>1</v>
      </c>
    </row>
    <row r="5" spans="2:27" x14ac:dyDescent="0.2">
      <c r="B5" s="11" t="s">
        <v>13</v>
      </c>
      <c r="C5" s="9">
        <v>-2965.62152764341</v>
      </c>
      <c r="D5" s="9">
        <v>-3003.3950262160902</v>
      </c>
      <c r="E5" s="9">
        <v>-3004.56058140917</v>
      </c>
      <c r="F5" s="9">
        <v>-3005.73258523195</v>
      </c>
      <c r="G5" s="9">
        <v>-2989.7194439847899</v>
      </c>
      <c r="H5" s="10">
        <v>-2990.9376606106398</v>
      </c>
      <c r="J5" s="11" t="s">
        <v>14</v>
      </c>
      <c r="K5" s="9">
        <f>C32</f>
        <v>0</v>
      </c>
      <c r="L5" s="9">
        <f>D32-$C$56</f>
        <v>-1.1471078227543785E-2</v>
      </c>
      <c r="M5" s="9">
        <f>E32-$C$55</f>
        <v>-1.8374945785253116E-2</v>
      </c>
      <c r="N5" s="9">
        <f>F32-$C$55</f>
        <v>-1.3063843845101841E-2</v>
      </c>
      <c r="O5" s="9">
        <f>G32+$C$54-$C$55</f>
        <v>-3.7942303772960484E-2</v>
      </c>
      <c r="P5" s="10">
        <f>H32-$C$55</f>
        <v>-4.6603121255101909E-2</v>
      </c>
      <c r="R5" s="30" t="s">
        <v>15</v>
      </c>
      <c r="S5" s="28">
        <v>0</v>
      </c>
      <c r="T5" s="28">
        <v>-5.577977669362838E-2</v>
      </c>
      <c r="U5" s="28">
        <v>-9.2990839607799164E-2</v>
      </c>
      <c r="V5" s="28">
        <v>1.639343357292584</v>
      </c>
      <c r="W5" s="28">
        <v>-2.7412333982552357</v>
      </c>
      <c r="X5" s="45">
        <v>-0.55669344633135165</v>
      </c>
      <c r="Y5" s="30" t="b">
        <v>0</v>
      </c>
      <c r="Z5" s="31" t="b">
        <v>0</v>
      </c>
      <c r="AA5" s="55" t="b">
        <v>0</v>
      </c>
    </row>
    <row r="6" spans="2:27" x14ac:dyDescent="0.2">
      <c r="B6" s="11" t="s">
        <v>15</v>
      </c>
      <c r="C6" s="9">
        <v>-1549.91555066001</v>
      </c>
      <c r="D6" s="9">
        <v>-1587.68184648754</v>
      </c>
      <c r="E6" s="9">
        <v>-1588.85136163433</v>
      </c>
      <c r="F6" s="9">
        <v>-1589.95721143026</v>
      </c>
      <c r="G6" s="9">
        <v>-1574.0024273796</v>
      </c>
      <c r="H6" s="10">
        <v>-1575.1889841510399</v>
      </c>
      <c r="J6" s="11" t="s">
        <v>16</v>
      </c>
      <c r="K6" s="9">
        <f>C33</f>
        <v>0</v>
      </c>
      <c r="L6" s="9">
        <f>D33-$C$56</f>
        <v>-8.4543565174612922E-3</v>
      </c>
      <c r="M6" s="9">
        <f>E33-$C$55</f>
        <v>-2.3608372705111291E-2</v>
      </c>
      <c r="N6" s="9">
        <f>F33-$C$55</f>
        <v>-1.0433682555357704E-2</v>
      </c>
      <c r="O6" s="9">
        <f>G33+$C$54-$C$55</f>
        <v>-4.3910459232828769E-2</v>
      </c>
      <c r="P6" s="10">
        <f>H33-$C$55</f>
        <v>-5.4588019025131329E-2</v>
      </c>
      <c r="R6" s="30" t="s">
        <v>14</v>
      </c>
      <c r="S6" s="28">
        <v>0</v>
      </c>
      <c r="T6" s="28">
        <v>-0.31212803857146643</v>
      </c>
      <c r="U6" s="28">
        <v>-0.49998227481673729</v>
      </c>
      <c r="V6" s="28">
        <v>-0.35546719102522112</v>
      </c>
      <c r="W6" s="28">
        <v>-1.0324100856622549</v>
      </c>
      <c r="X6" s="45">
        <v>-1.268070929351323</v>
      </c>
      <c r="Y6" s="30" t="b">
        <v>1</v>
      </c>
      <c r="Z6" s="31" t="b">
        <v>0</v>
      </c>
      <c r="AA6" s="49" t="b">
        <v>1</v>
      </c>
    </row>
    <row r="7" spans="2:27" x14ac:dyDescent="0.2">
      <c r="B7" s="11" t="s">
        <v>14</v>
      </c>
      <c r="C7" s="9">
        <v>-1632.27823083104</v>
      </c>
      <c r="D7" s="9">
        <v>-1670.0539477633799</v>
      </c>
      <c r="E7" s="9">
        <v>-1671.2384203315301</v>
      </c>
      <c r="F7" s="9">
        <v>-1672.41758179774</v>
      </c>
      <c r="G7" s="9">
        <v>-1656.3999964493</v>
      </c>
      <c r="H7" s="10">
        <v>-1657.61269719292</v>
      </c>
      <c r="J7" s="11" t="s">
        <v>17</v>
      </c>
      <c r="K7" s="9">
        <f>C34</f>
        <v>0</v>
      </c>
      <c r="L7" s="9">
        <f>D34-$C$56</f>
        <v>8.4149416478396688E-2</v>
      </c>
      <c r="M7" s="9">
        <f>E34-$C$55</f>
        <v>-2.227195653109848E-2</v>
      </c>
      <c r="N7" s="9">
        <f>F34-$C$55</f>
        <v>-4.892220221115795E-2</v>
      </c>
      <c r="O7" s="9">
        <f>G34+$C$54-$C$55</f>
        <v>-3.7490826703939772E-2</v>
      </c>
      <c r="P7" s="10">
        <f>H34-$C$55</f>
        <v>-3.8341634961126969E-2</v>
      </c>
      <c r="R7" s="30" t="s">
        <v>16</v>
      </c>
      <c r="S7" s="28">
        <v>0</v>
      </c>
      <c r="T7" s="28">
        <v>-0.23004304084012178</v>
      </c>
      <c r="U7" s="28">
        <v>-0.6423838213060783</v>
      </c>
      <c r="V7" s="28">
        <v>-0.28390050233128311</v>
      </c>
      <c r="W7" s="28">
        <v>-1.194803595725271</v>
      </c>
      <c r="X7" s="45">
        <v>-1.4853399976738235</v>
      </c>
      <c r="Y7" s="30" t="b">
        <v>1</v>
      </c>
      <c r="Z7" s="31" t="b">
        <v>0</v>
      </c>
      <c r="AA7" s="49" t="b">
        <v>1</v>
      </c>
    </row>
    <row r="8" spans="2:27" x14ac:dyDescent="0.2">
      <c r="B8" s="11" t="s">
        <v>16</v>
      </c>
      <c r="C8" s="9">
        <v>-1258.7746054514801</v>
      </c>
      <c r="D8" s="9">
        <v>-1296.5473056621099</v>
      </c>
      <c r="E8" s="9">
        <v>-1297.7370116571799</v>
      </c>
      <c r="F8" s="9">
        <v>-1298.9135429621001</v>
      </c>
      <c r="G8" s="9">
        <v>-1282.90192576912</v>
      </c>
      <c r="H8" s="10">
        <v>-1284.12261141051</v>
      </c>
      <c r="J8" s="11" t="s">
        <v>18</v>
      </c>
      <c r="K8" s="9">
        <f>C35</f>
        <v>0</v>
      </c>
      <c r="L8" s="9">
        <f>D35-$C$56</f>
        <v>4.9293798516430343E-2</v>
      </c>
      <c r="M8" s="9">
        <f>E35-$C$55</f>
        <v>6.7524048621849575E-2</v>
      </c>
      <c r="N8" s="9">
        <f>F35-$C$55</f>
        <v>-4.1302874104146126E-2</v>
      </c>
      <c r="O8" s="9">
        <f>G35+$C$54-$C$55</f>
        <v>-5.3823201272943377E-2</v>
      </c>
      <c r="P8" s="10">
        <f>H35-$C$55</f>
        <v>-7.195710662712318E-2</v>
      </c>
      <c r="R8" s="30" t="s">
        <v>17</v>
      </c>
      <c r="S8" s="28">
        <v>0</v>
      </c>
      <c r="T8" s="28">
        <v>2.2897056223771739</v>
      </c>
      <c r="U8" s="28">
        <v>-0.60601993721118963</v>
      </c>
      <c r="V8" s="28">
        <v>-1.3311731221656078</v>
      </c>
      <c r="W8" s="28">
        <v>-1.0201253946142013</v>
      </c>
      <c r="X8" s="45">
        <v>-1.0432758872922649</v>
      </c>
      <c r="Y8" s="30" t="b">
        <v>0</v>
      </c>
      <c r="Z8" s="31" t="b">
        <v>0</v>
      </c>
      <c r="AA8" s="55" t="b">
        <v>0</v>
      </c>
    </row>
    <row r="9" spans="2:27" x14ac:dyDescent="0.2">
      <c r="B9" s="11" t="s">
        <v>17</v>
      </c>
      <c r="C9" s="9">
        <v>-410.59751354953602</v>
      </c>
      <c r="D9" s="9">
        <v>-448.27760998717002</v>
      </c>
      <c r="E9" s="9">
        <v>-449.46597956606598</v>
      </c>
      <c r="F9" s="9">
        <v>-450.680999390642</v>
      </c>
      <c r="G9" s="22">
        <v>-434.662962565133</v>
      </c>
      <c r="H9" s="10">
        <v>-435.86740182245899</v>
      </c>
      <c r="J9" s="11" t="s">
        <v>19</v>
      </c>
      <c r="K9" s="9">
        <f>C36</f>
        <v>0</v>
      </c>
      <c r="L9" s="9">
        <f>D36-$C$56</f>
        <v>-9.4257593507620641E-2</v>
      </c>
      <c r="M9" s="9">
        <f>E36-$C$55</f>
        <v>8.9785440554906559E-2</v>
      </c>
      <c r="N9" s="9">
        <f>F36-$C$55</f>
        <v>5.0409353814857782E-2</v>
      </c>
      <c r="O9" s="9">
        <f>G36+$C$54-$C$55</f>
        <v>-9.1013322279972497E-2</v>
      </c>
      <c r="P9" s="10">
        <f>H36-$C$55</f>
        <v>-6.7801791699152458E-2</v>
      </c>
      <c r="R9" s="30" t="s">
        <v>18</v>
      </c>
      <c r="S9" s="28">
        <v>0</v>
      </c>
      <c r="T9" s="28">
        <v>1.3412842576320696</v>
      </c>
      <c r="U9" s="28">
        <v>1.837329363000527</v>
      </c>
      <c r="V9" s="28">
        <v>-1.123851204373816</v>
      </c>
      <c r="W9" s="28">
        <v>-1.4645293066367893</v>
      </c>
      <c r="X9" s="45">
        <v>-1.9579528713240217</v>
      </c>
      <c r="Y9" s="30" t="b">
        <v>0</v>
      </c>
      <c r="Z9" s="31" t="b">
        <v>0</v>
      </c>
      <c r="AA9" s="55" t="b">
        <v>0</v>
      </c>
    </row>
    <row r="10" spans="2:27" x14ac:dyDescent="0.2">
      <c r="B10" s="11" t="s">
        <v>18</v>
      </c>
      <c r="C10" s="9">
        <v>-315.536985868182</v>
      </c>
      <c r="D10" s="9">
        <v>-353.25193792377797</v>
      </c>
      <c r="E10" s="9">
        <v>-354.35051149752098</v>
      </c>
      <c r="F10" s="9">
        <v>-355.55791199398999</v>
      </c>
      <c r="G10" s="9">
        <v>-339.55620754304999</v>
      </c>
      <c r="H10" s="10">
        <v>-340.79426227204198</v>
      </c>
      <c r="J10" s="13" t="s">
        <v>20</v>
      </c>
      <c r="K10" s="9">
        <f>C37</f>
        <v>0</v>
      </c>
      <c r="L10" s="9">
        <f>D37-$C$56</f>
        <v>8.1029452244422373E-2</v>
      </c>
      <c r="M10" s="9">
        <f>E37-$C$55</f>
        <v>-6.0418457759125799E-2</v>
      </c>
      <c r="N10" s="9">
        <f>F37-$C$55</f>
        <v>-1.4693294687176062E-2</v>
      </c>
      <c r="O10" s="9">
        <f>G37+$C$54-$C$55</f>
        <v>1.8333408091071535E-2</v>
      </c>
      <c r="P10" s="10">
        <f>H37-$C$55</f>
        <v>-0.11293423780115464</v>
      </c>
      <c r="R10" s="30" t="s">
        <v>19</v>
      </c>
      <c r="S10" s="28">
        <v>0</v>
      </c>
      <c r="T10" s="28">
        <v>-2.5647491193423577</v>
      </c>
      <c r="U10" s="28">
        <v>2.4430618374990076</v>
      </c>
      <c r="V10" s="28">
        <v>1.3716385173022803</v>
      </c>
      <c r="W10" s="28">
        <v>-2.4764724992380516</v>
      </c>
      <c r="X10" s="45">
        <v>-1.8448867521339385</v>
      </c>
      <c r="Y10" s="30" t="b">
        <v>0</v>
      </c>
      <c r="Z10" s="31" t="b">
        <v>0</v>
      </c>
      <c r="AA10" s="55" t="b">
        <v>0</v>
      </c>
    </row>
    <row r="11" spans="2:27" x14ac:dyDescent="0.2">
      <c r="B11" s="11" t="s">
        <v>19</v>
      </c>
      <c r="C11" s="9">
        <v>-962.77301861686999</v>
      </c>
      <c r="D11" s="9">
        <v>-1000.63152206449</v>
      </c>
      <c r="E11" s="9">
        <v>-1001.7078342463</v>
      </c>
      <c r="F11" s="9">
        <v>-1002.82352251485</v>
      </c>
      <c r="G11" s="9">
        <v>-986.859008184917</v>
      </c>
      <c r="H11" s="10">
        <v>-988.09290759898101</v>
      </c>
      <c r="J11" s="11" t="s">
        <v>41</v>
      </c>
      <c r="K11" s="9">
        <f>C38</f>
        <v>0</v>
      </c>
      <c r="L11" s="9">
        <f>D38-$C$56</f>
        <v>7.796235426229714E-2</v>
      </c>
      <c r="M11" s="9">
        <f>E38-$C$55</f>
        <v>5.1412928214959353E-2</v>
      </c>
      <c r="N11" s="9">
        <f>F38-$C$55</f>
        <v>-6.1667068405212744E-2</v>
      </c>
      <c r="O11" s="9">
        <f>G38+$C$54-$C$55</f>
        <v>-2.9225040302871319E-2</v>
      </c>
      <c r="P11" s="10">
        <f>H38-$C$55</f>
        <v>-0.1071007628551246</v>
      </c>
      <c r="R11" s="30" t="s">
        <v>20</v>
      </c>
      <c r="S11" s="28">
        <v>0</v>
      </c>
      <c r="T11" s="28">
        <v>2.2048113955707329</v>
      </c>
      <c r="U11" s="28">
        <v>-1.643986235625813</v>
      </c>
      <c r="V11" s="28">
        <v>-0.39980454843806063</v>
      </c>
      <c r="W11" s="28">
        <v>0.49885203415805646</v>
      </c>
      <c r="X11" s="45">
        <v>-3.0729406105694177</v>
      </c>
      <c r="Y11" s="30" t="b">
        <v>0</v>
      </c>
      <c r="Z11" s="31" t="b">
        <v>0</v>
      </c>
      <c r="AA11" s="55" t="b">
        <v>0</v>
      </c>
    </row>
    <row r="12" spans="2:27" x14ac:dyDescent="0.2">
      <c r="B12" s="13" t="s">
        <v>20</v>
      </c>
      <c r="C12" s="9">
        <v>-425.60336495335201</v>
      </c>
      <c r="D12" s="9">
        <v>-463.28658135521999</v>
      </c>
      <c r="E12" s="9">
        <v>-464.51309743534398</v>
      </c>
      <c r="F12" s="9">
        <v>-465.69388835239602</v>
      </c>
      <c r="G12" s="9">
        <v>-449.620027292092</v>
      </c>
      <c r="H12" s="10">
        <v>-450.89905915225802</v>
      </c>
      <c r="J12" s="11" t="s">
        <v>21</v>
      </c>
      <c r="K12" s="9">
        <f>C39</f>
        <v>0</v>
      </c>
      <c r="L12" s="9">
        <f>D39-$C$56</f>
        <v>9.1027620943577858E-3</v>
      </c>
      <c r="M12" s="9">
        <f>E39-$C$55</f>
        <v>-2.4049805567087246E-2</v>
      </c>
      <c r="N12" s="9">
        <f>F39-$C$55</f>
        <v>-6.656265110622317E-2</v>
      </c>
      <c r="O12" s="9">
        <f>G39+$C$54-$C$55</f>
        <v>1.5596145310798892E-3</v>
      </c>
      <c r="P12" s="10">
        <f>H39-$C$55</f>
        <v>1.5572540968933568E-2</v>
      </c>
      <c r="R12" s="30" t="s">
        <v>41</v>
      </c>
      <c r="S12" s="28">
        <v>0</v>
      </c>
      <c r="T12" s="28">
        <v>2.1213556594771052</v>
      </c>
      <c r="U12" s="28">
        <v>1.3989457767290441</v>
      </c>
      <c r="V12" s="28">
        <v>-1.6779609313058388</v>
      </c>
      <c r="W12" s="28">
        <v>-0.79521334664112864</v>
      </c>
      <c r="X12" s="45">
        <v>-2.9142117572879402</v>
      </c>
      <c r="Y12" s="30" t="b">
        <v>0</v>
      </c>
      <c r="Z12" s="31" t="b">
        <v>0</v>
      </c>
      <c r="AA12" s="55" t="b">
        <v>0</v>
      </c>
    </row>
    <row r="13" spans="2:27" x14ac:dyDescent="0.2">
      <c r="B13" s="11" t="s">
        <v>41</v>
      </c>
      <c r="C13" s="9">
        <v>-1158.2871916559</v>
      </c>
      <c r="D13" s="9">
        <v>-1195.9734751557501</v>
      </c>
      <c r="E13" s="9">
        <v>-1197.0881598499</v>
      </c>
      <c r="F13" s="9">
        <v>-1198.31592454067</v>
      </c>
      <c r="G13" s="9">
        <v>-1182.28962192876</v>
      </c>
      <c r="H13" s="10">
        <v>-1183.56282031398</v>
      </c>
      <c r="J13" s="11" t="s">
        <v>22</v>
      </c>
      <c r="K13" s="9">
        <f>C40</f>
        <v>0</v>
      </c>
      <c r="L13" s="9">
        <f>D40-$C$56</f>
        <v>-3.0270890277392937E-3</v>
      </c>
      <c r="M13" s="9">
        <f>E40-$C$55</f>
        <v>-4.8050420654266457E-3</v>
      </c>
      <c r="N13" s="9">
        <f>F40-$C$55</f>
        <v>2.6124769996650778</v>
      </c>
      <c r="O13" s="9">
        <f>G40+$C$54-$C$55</f>
        <v>-2.6541394198927533</v>
      </c>
      <c r="P13" s="10">
        <f>H40-$C$55</f>
        <v>-5.9995894945486183E-2</v>
      </c>
      <c r="R13" s="30" t="s">
        <v>21</v>
      </c>
      <c r="S13" s="28">
        <v>0</v>
      </c>
      <c r="T13" s="28">
        <v>0.24768615658747536</v>
      </c>
      <c r="U13" s="28">
        <v>-0.65439520948044394</v>
      </c>
      <c r="V13" s="28">
        <v>-1.8111697366003325</v>
      </c>
      <c r="W13" s="28">
        <v>4.243711139068379E-2</v>
      </c>
      <c r="X13" s="45">
        <v>0.4237288397646824</v>
      </c>
      <c r="Y13" s="30" t="b">
        <v>0</v>
      </c>
      <c r="Z13" s="31" t="b">
        <v>1</v>
      </c>
      <c r="AA13" s="49" t="b">
        <v>1</v>
      </c>
    </row>
    <row r="14" spans="2:27" x14ac:dyDescent="0.2">
      <c r="B14" s="11" t="s">
        <v>21</v>
      </c>
      <c r="C14" s="9">
        <v>-509.66969744825298</v>
      </c>
      <c r="D14" s="9">
        <v>-547.42484054027102</v>
      </c>
      <c r="E14" s="22">
        <v>-548.61498796820297</v>
      </c>
      <c r="F14" s="9">
        <v>-549.84764824167405</v>
      </c>
      <c r="G14" s="9">
        <v>-533.79056097493003</v>
      </c>
      <c r="H14" s="10">
        <v>-534.94108605632596</v>
      </c>
      <c r="J14" s="11" t="s">
        <v>23</v>
      </c>
      <c r="K14" s="9">
        <f>C41</f>
        <v>0</v>
      </c>
      <c r="L14" s="9">
        <f>D41-$C$56</f>
        <v>-5.1497200377639274E-3</v>
      </c>
      <c r="M14" s="9">
        <f>E41-$C$55</f>
        <v>-1.6031723224968486E-2</v>
      </c>
      <c r="N14" s="9">
        <f>F41-$C$55</f>
        <v>-6.9124193052079175E-3</v>
      </c>
      <c r="O14" s="9">
        <f>G41+$C$54-$C$55</f>
        <v>-5.162005656300539E-2</v>
      </c>
      <c r="P14" s="10">
        <f>H41-$C$55</f>
        <v>-5.3952812955130325E-2</v>
      </c>
      <c r="R14" s="30" t="s">
        <v>22</v>
      </c>
      <c r="S14" s="28">
        <v>0</v>
      </c>
      <c r="T14" s="28">
        <v>-8.2367092444786183E-2</v>
      </c>
      <c r="U14" s="28">
        <v>-0.13074519460025905</v>
      </c>
      <c r="V14" s="28">
        <v>71.085499160886769</v>
      </c>
      <c r="W14" s="28">
        <v>-72.21913361528182</v>
      </c>
      <c r="X14" s="45">
        <v>-1.6324883014666791</v>
      </c>
      <c r="Y14" s="30" t="b">
        <v>0</v>
      </c>
      <c r="Z14" s="31" t="b">
        <v>0</v>
      </c>
      <c r="AA14" s="55" t="b">
        <v>0</v>
      </c>
    </row>
    <row r="15" spans="2:27" x14ac:dyDescent="0.2">
      <c r="B15" s="11" t="s">
        <v>22</v>
      </c>
      <c r="C15" s="9">
        <v>-2866.9915762342298</v>
      </c>
      <c r="D15" s="9">
        <v>-2904.7588491773699</v>
      </c>
      <c r="E15" s="9">
        <v>-2905.9297518418002</v>
      </c>
      <c r="F15" s="12">
        <v>-2904.4833724645</v>
      </c>
      <c r="G15" s="9">
        <v>-2891.0819842321798</v>
      </c>
      <c r="H15" s="10">
        <v>-2892.3080777494902</v>
      </c>
      <c r="J15" s="11" t="s">
        <v>24</v>
      </c>
      <c r="K15" s="9">
        <f>C42</f>
        <v>0</v>
      </c>
      <c r="L15" s="9">
        <f>D42-$C$56</f>
        <v>0.1132845854984339</v>
      </c>
      <c r="M15" s="9">
        <f>E42-$C$55</f>
        <v>1.1897614700829395E-2</v>
      </c>
      <c r="N15" s="9">
        <f>F42-$C$55</f>
        <v>-2.6404553476153891E-2</v>
      </c>
      <c r="O15" s="9">
        <f>G42+$C$54-$C$55</f>
        <v>-7.0410711110961754E-2</v>
      </c>
      <c r="P15" s="10">
        <f>H42-$C$55</f>
        <v>1.614981675685212E-2</v>
      </c>
      <c r="R15" s="30" t="s">
        <v>23</v>
      </c>
      <c r="S15" s="28">
        <v>0</v>
      </c>
      <c r="T15" s="28">
        <v>-0.14012388222755648</v>
      </c>
      <c r="U15" s="28">
        <v>-0.4362231889513925</v>
      </c>
      <c r="V15" s="28">
        <v>-0.18808692929470744</v>
      </c>
      <c r="W15" s="28">
        <v>-1.4045817390793767</v>
      </c>
      <c r="X15" s="45">
        <v>-1.4680560405090961</v>
      </c>
      <c r="Y15" s="30" t="b">
        <v>1</v>
      </c>
      <c r="Z15" s="31" t="b">
        <v>0</v>
      </c>
      <c r="AA15" s="49" t="b">
        <v>1</v>
      </c>
    </row>
    <row r="16" spans="2:27" x14ac:dyDescent="0.2">
      <c r="B16" s="11" t="s">
        <v>23</v>
      </c>
      <c r="C16" s="9">
        <v>-1203.8759194398599</v>
      </c>
      <c r="D16" s="9">
        <v>-1241.6453150140101</v>
      </c>
      <c r="E16" s="9">
        <v>-1242.8274443595999</v>
      </c>
      <c r="F16" s="9">
        <v>-1244.00045440127</v>
      </c>
      <c r="G16" s="9">
        <v>-1227.99654680562</v>
      </c>
      <c r="H16" s="10">
        <v>-1229.21659724094</v>
      </c>
      <c r="J16" s="11" t="s">
        <v>25</v>
      </c>
      <c r="K16" s="9">
        <f>C43</f>
        <v>0</v>
      </c>
      <c r="L16" s="9">
        <f>D43-$C$56</f>
        <v>0.19572322781226603</v>
      </c>
      <c r="M16" s="9">
        <f>E43-$C$55</f>
        <v>-0.22692860622500066</v>
      </c>
      <c r="N16" s="9">
        <f>F43-$C$55</f>
        <v>0.28305434641480187</v>
      </c>
      <c r="O16" s="9">
        <f>G43+$C$54-$C$55</f>
        <v>-0.19857177663309744</v>
      </c>
      <c r="P16" s="10">
        <f>H43-$C$55</f>
        <v>-0.17529136720499028</v>
      </c>
      <c r="R16" s="30" t="s">
        <v>24</v>
      </c>
      <c r="S16" s="28">
        <v>0</v>
      </c>
      <c r="T16" s="28">
        <v>3.0824735714123865</v>
      </c>
      <c r="U16" s="28">
        <v>0.32373409600956787</v>
      </c>
      <c r="V16" s="28">
        <v>-0.71846790008614736</v>
      </c>
      <c r="W16" s="28">
        <v>-1.9158754493292693</v>
      </c>
      <c r="X16" s="45">
        <v>0.43943651395394617</v>
      </c>
      <c r="Y16" s="30" t="b">
        <v>0</v>
      </c>
      <c r="Z16" s="31" t="b">
        <v>0</v>
      </c>
      <c r="AA16" s="55" t="b">
        <v>0</v>
      </c>
    </row>
    <row r="17" spans="2:27" x14ac:dyDescent="0.2">
      <c r="B17" s="11" t="s">
        <v>24</v>
      </c>
      <c r="C17" s="9">
        <v>-872.85551297747998</v>
      </c>
      <c r="D17" s="9">
        <v>-910.50647424609394</v>
      </c>
      <c r="E17" s="9">
        <v>-911.66067425375797</v>
      </c>
      <c r="F17" s="9">
        <v>-912.85317642959899</v>
      </c>
      <c r="G17" s="9">
        <v>-896.86805948849701</v>
      </c>
      <c r="H17" s="10">
        <v>-898.01800729410502</v>
      </c>
      <c r="J17" s="11" t="s">
        <v>26</v>
      </c>
      <c r="K17" s="9">
        <f>C44</f>
        <v>0</v>
      </c>
      <c r="L17" s="9">
        <f>D44-$C$56</f>
        <v>-9.193214587469356E-3</v>
      </c>
      <c r="M17" s="9">
        <f>E44-$C$55</f>
        <v>-1.9265598755181967E-2</v>
      </c>
      <c r="N17" s="9">
        <f>F44-$C$55</f>
        <v>-2.0162743985237652E-2</v>
      </c>
      <c r="O17" s="9">
        <f>G44+$C$54-$C$55</f>
        <v>-2.9879121392904606E-2</v>
      </c>
      <c r="P17" s="10">
        <f>H44-$C$55</f>
        <v>-5.1039034545182771E-2</v>
      </c>
      <c r="R17" s="30" t="s">
        <v>25</v>
      </c>
      <c r="S17" s="28">
        <v>0</v>
      </c>
      <c r="T17" s="28">
        <v>5.3256290287717585</v>
      </c>
      <c r="U17" s="28">
        <v>-6.1747273753822682</v>
      </c>
      <c r="V17" s="28">
        <v>7.7019087659467589</v>
      </c>
      <c r="W17" s="28">
        <v>-5.4031380421865816</v>
      </c>
      <c r="X17" s="45">
        <v>-4.7696781016477861</v>
      </c>
      <c r="Y17" s="30" t="b">
        <v>0</v>
      </c>
      <c r="Z17" s="31" t="b">
        <v>0</v>
      </c>
      <c r="AA17" s="55" t="b">
        <v>0</v>
      </c>
    </row>
    <row r="18" spans="2:27" x14ac:dyDescent="0.2">
      <c r="B18" s="11" t="s">
        <v>25</v>
      </c>
      <c r="C18" s="9">
        <v>-1028.9561736052599</v>
      </c>
      <c r="D18" s="9">
        <v>-1066.52469623156</v>
      </c>
      <c r="E18" s="9">
        <v>-1067.9177224601499</v>
      </c>
      <c r="F18" s="9">
        <v>-1068.8007657360999</v>
      </c>
      <c r="G18" s="9">
        <v>-1052.9438098605201</v>
      </c>
      <c r="H18" s="10">
        <v>-1054.28519885009</v>
      </c>
      <c r="J18" s="14" t="s">
        <v>34</v>
      </c>
      <c r="K18" s="9">
        <f>C45</f>
        <v>0</v>
      </c>
      <c r="L18" s="9"/>
      <c r="M18" s="9"/>
      <c r="N18" s="9"/>
      <c r="O18" s="9"/>
      <c r="P18" s="10"/>
      <c r="R18" s="30" t="s">
        <v>26</v>
      </c>
      <c r="S18" s="28">
        <v>0</v>
      </c>
      <c r="T18" s="28">
        <v>-0.25014736892504119</v>
      </c>
      <c r="U18" s="28">
        <v>-0.52421694212850134</v>
      </c>
      <c r="V18" s="28">
        <v>-0.54862826383831653</v>
      </c>
      <c r="W18" s="28">
        <v>-0.81301089310093433</v>
      </c>
      <c r="X18" s="45">
        <v>-1.3887721299744233</v>
      </c>
      <c r="Y18" s="30" t="b">
        <v>1</v>
      </c>
      <c r="Z18" s="31" t="b">
        <v>0</v>
      </c>
      <c r="AA18" s="49" t="b">
        <v>1</v>
      </c>
    </row>
    <row r="19" spans="2:27" x14ac:dyDescent="0.2">
      <c r="B19" s="11" t="s">
        <v>26</v>
      </c>
      <c r="C19" s="9">
        <v>-1670.1839619268501</v>
      </c>
      <c r="D19" s="9">
        <v>-1707.95740099555</v>
      </c>
      <c r="E19" s="9">
        <v>-1709.14276421667</v>
      </c>
      <c r="F19" s="9">
        <v>-1710.3290245830201</v>
      </c>
      <c r="G19" s="9">
        <v>-1694.3033760522001</v>
      </c>
      <c r="H19" s="10">
        <v>-1695.5205127091101</v>
      </c>
      <c r="J19" s="17" t="s">
        <v>27</v>
      </c>
      <c r="K19" s="9">
        <f>C46</f>
        <v>0</v>
      </c>
      <c r="L19" s="9"/>
      <c r="M19" s="9"/>
      <c r="N19" s="9"/>
      <c r="O19" s="9"/>
      <c r="P19" s="10"/>
      <c r="R19" s="30" t="s">
        <v>34</v>
      </c>
      <c r="S19" s="28">
        <v>0</v>
      </c>
      <c r="T19" s="28">
        <v>-0.32592454141506738</v>
      </c>
      <c r="U19" s="28">
        <v>-0.21179507895658345</v>
      </c>
      <c r="V19" s="28">
        <v>-0.93760140234894318</v>
      </c>
      <c r="W19" s="28">
        <v>-0.11681498783205262</v>
      </c>
      <c r="X19" s="45">
        <v>-1.4126787927002216</v>
      </c>
      <c r="Y19" s="30" t="b">
        <v>1</v>
      </c>
      <c r="Z19" s="31" t="b">
        <v>0</v>
      </c>
      <c r="AA19" s="49" t="b">
        <v>1</v>
      </c>
    </row>
    <row r="20" spans="2:27" x14ac:dyDescent="0.2">
      <c r="B20" s="14" t="s">
        <v>34</v>
      </c>
      <c r="C20" s="15" t="s">
        <v>53</v>
      </c>
      <c r="D20" s="15"/>
      <c r="E20" s="15"/>
      <c r="F20" s="15"/>
      <c r="G20" s="15"/>
      <c r="H20" s="16"/>
      <c r="J20" s="17" t="s">
        <v>28</v>
      </c>
      <c r="K20" s="9">
        <f>C47</f>
        <v>0</v>
      </c>
      <c r="L20" s="9"/>
      <c r="M20" s="9"/>
      <c r="N20" s="9"/>
      <c r="O20" s="9"/>
      <c r="P20" s="10"/>
      <c r="R20" s="30" t="s">
        <v>27</v>
      </c>
      <c r="S20" s="29" t="s">
        <v>64</v>
      </c>
      <c r="T20" s="29"/>
      <c r="U20" s="29"/>
      <c r="V20" s="29"/>
      <c r="W20" s="29"/>
      <c r="X20" s="46"/>
      <c r="Y20" s="54" t="s">
        <v>63</v>
      </c>
      <c r="Z20" s="32" t="s">
        <v>63</v>
      </c>
      <c r="AA20" s="50" t="s">
        <v>63</v>
      </c>
    </row>
    <row r="21" spans="2:27" x14ac:dyDescent="0.2">
      <c r="B21" s="17" t="s">
        <v>27</v>
      </c>
      <c r="C21" s="12" t="s">
        <v>42</v>
      </c>
      <c r="D21" s="12"/>
      <c r="E21" s="12"/>
      <c r="F21" s="12"/>
      <c r="G21" s="12"/>
      <c r="H21" s="18"/>
      <c r="J21" s="11" t="s">
        <v>29</v>
      </c>
      <c r="K21" s="9">
        <f>C48</f>
        <v>0</v>
      </c>
      <c r="L21" s="9">
        <f>D48-$C$56</f>
        <v>0.20579382683740732</v>
      </c>
      <c r="M21" s="9">
        <f>E48-$C$55</f>
        <v>-0.1890941609161263</v>
      </c>
      <c r="N21" s="9">
        <f>F48-$C$55</f>
        <v>-1.3974217134161249E-2</v>
      </c>
      <c r="O21" s="9">
        <f>G48+$C$54-$C$55</f>
        <v>-4.2130000278954638E-2</v>
      </c>
      <c r="P21" s="10">
        <f>H48-$C$55</f>
        <v>-6.5736711922126601E-2</v>
      </c>
      <c r="R21" s="30" t="s">
        <v>28</v>
      </c>
      <c r="S21" s="29" t="s">
        <v>64</v>
      </c>
      <c r="T21" s="29"/>
      <c r="U21" s="29"/>
      <c r="V21" s="29"/>
      <c r="W21" s="29"/>
      <c r="X21" s="46"/>
      <c r="Y21" s="54" t="s">
        <v>63</v>
      </c>
      <c r="Z21" s="32" t="s">
        <v>63</v>
      </c>
      <c r="AA21" s="50" t="s">
        <v>63</v>
      </c>
    </row>
    <row r="22" spans="2:27" x14ac:dyDescent="0.2">
      <c r="B22" s="17" t="s">
        <v>28</v>
      </c>
      <c r="C22" s="12" t="s">
        <v>42</v>
      </c>
      <c r="D22" s="12"/>
      <c r="E22" s="12"/>
      <c r="F22" s="12"/>
      <c r="G22" s="12"/>
      <c r="H22" s="18"/>
      <c r="J22" s="11" t="s">
        <v>30</v>
      </c>
      <c r="K22" s="9">
        <f>C49</f>
        <v>0</v>
      </c>
      <c r="L22" s="9">
        <f>D49-$C$56</f>
        <v>9.0592733924438562E-2</v>
      </c>
      <c r="M22" s="9">
        <f>E49-$C$55</f>
        <v>-3.3773339623180076E-2</v>
      </c>
      <c r="N22" s="9">
        <f>F49-$C$55</f>
        <v>-6.2389707847059439E-2</v>
      </c>
      <c r="O22" s="9">
        <f>G49+$C$54-$C$55</f>
        <v>-3.6477314599987265E-2</v>
      </c>
      <c r="P22" s="10">
        <f>H49-$C$55</f>
        <v>-4.5831629940166208E-2</v>
      </c>
      <c r="R22" s="30" t="s">
        <v>29</v>
      </c>
      <c r="S22" s="28">
        <v>0</v>
      </c>
      <c r="T22" s="28">
        <v>5.5996500282458532</v>
      </c>
      <c r="U22" s="28">
        <v>-5.1452521185277966</v>
      </c>
      <c r="V22" s="28">
        <v>-0.3802384482205276</v>
      </c>
      <c r="W22" s="28">
        <v>-1.1463573075903557</v>
      </c>
      <c r="X22" s="45">
        <v>-1.7886959314010649</v>
      </c>
      <c r="Y22" s="30" t="b">
        <v>0</v>
      </c>
      <c r="Z22" s="31" t="b">
        <v>0</v>
      </c>
      <c r="AA22" s="55" t="b">
        <v>0</v>
      </c>
    </row>
    <row r="23" spans="2:27" x14ac:dyDescent="0.2">
      <c r="B23" s="11" t="s">
        <v>29</v>
      </c>
      <c r="C23" s="9">
        <v>-388.838571077533</v>
      </c>
      <c r="D23" s="9">
        <v>-426.397023104808</v>
      </c>
      <c r="E23" s="9">
        <v>-427.75221488808899</v>
      </c>
      <c r="F23" s="9">
        <v>-428.93228672758801</v>
      </c>
      <c r="G23" s="9">
        <v>-412.91888907565402</v>
      </c>
      <c r="H23" s="10">
        <v>-414.15072340994101</v>
      </c>
      <c r="J23" s="11" t="s">
        <v>31</v>
      </c>
      <c r="K23" s="9">
        <f>C50</f>
        <v>0</v>
      </c>
      <c r="L23" s="9">
        <f>D50-$C$56</f>
        <v>-4.7727241536108522E-3</v>
      </c>
      <c r="M23" s="9">
        <f>E50-$C$55</f>
        <v>4.8496469034817524E-2</v>
      </c>
      <c r="N23" s="9">
        <f>F50-$C$55</f>
        <v>-6.0536813752050334E-2</v>
      </c>
      <c r="O23" s="9">
        <f>G50+$C$54-$C$55</f>
        <v>-3.1295374604932702E-2</v>
      </c>
      <c r="P23" s="10">
        <f>H50-$C$55</f>
        <v>-4.9590071363140309E-2</v>
      </c>
      <c r="R23" s="30" t="s">
        <v>30</v>
      </c>
      <c r="S23" s="28">
        <v>0</v>
      </c>
      <c r="T23" s="28">
        <v>2.4650282900839735</v>
      </c>
      <c r="U23" s="28">
        <v>-0.91897257114672992</v>
      </c>
      <c r="V23" s="28">
        <v>-1.6976239505184874</v>
      </c>
      <c r="W23" s="28">
        <v>-0.99254773026565346</v>
      </c>
      <c r="X23" s="45">
        <v>-1.2470786506719225</v>
      </c>
      <c r="Y23" s="30" t="b">
        <v>0</v>
      </c>
      <c r="Z23" s="31" t="b">
        <v>0</v>
      </c>
      <c r="AA23" s="55" t="b">
        <v>0</v>
      </c>
    </row>
    <row r="24" spans="2:27" x14ac:dyDescent="0.2">
      <c r="B24" s="11" t="s">
        <v>30</v>
      </c>
      <c r="C24" s="9">
        <v>-678.11677386675603</v>
      </c>
      <c r="D24" s="9">
        <v>-715.790426986944</v>
      </c>
      <c r="E24" s="9">
        <v>-716.99029794893204</v>
      </c>
      <c r="F24" s="9">
        <v>-718.21878527914396</v>
      </c>
      <c r="G24" s="9">
        <v>-702.19973494153101</v>
      </c>
      <c r="H24" s="10">
        <v>-703.41166419383603</v>
      </c>
      <c r="J24" s="11" t="s">
        <v>32</v>
      </c>
      <c r="K24" s="9">
        <f>C51</f>
        <v>0</v>
      </c>
      <c r="L24" s="9">
        <f>D51-$C$56</f>
        <v>-5.8536684176146991E-3</v>
      </c>
      <c r="M24" s="9">
        <f>E51-$C$55</f>
        <v>-1.7722632345239075E-2</v>
      </c>
      <c r="N24" s="9">
        <f>F51-$C$55</f>
        <v>-5.38440655499417E-3</v>
      </c>
      <c r="O24" s="9">
        <f>G51+$C$54-$C$55</f>
        <v>-4.1439369492972444E-2</v>
      </c>
      <c r="P24" s="10">
        <f>H51-$C$55</f>
        <v>-5.4473856305220947E-2</v>
      </c>
      <c r="R24" s="30" t="s">
        <v>31</v>
      </c>
      <c r="S24" s="28">
        <v>0</v>
      </c>
      <c r="T24" s="28">
        <v>-0.12986582421975129</v>
      </c>
      <c r="U24" s="28">
        <v>1.3195889224373849</v>
      </c>
      <c r="V24" s="28">
        <v>-1.6472067021932897</v>
      </c>
      <c r="W24" s="28">
        <v>-0.85154714300021883</v>
      </c>
      <c r="X24" s="45">
        <v>-1.3493458417910478</v>
      </c>
      <c r="Y24" s="30" t="b">
        <v>0</v>
      </c>
      <c r="Z24" s="31" t="b">
        <v>0</v>
      </c>
      <c r="AA24" s="55" t="b">
        <v>0</v>
      </c>
    </row>
    <row r="25" spans="2:27" ht="17" thickBot="1" x14ac:dyDescent="0.25">
      <c r="B25" s="11" t="s">
        <v>31</v>
      </c>
      <c r="C25" s="9">
        <v>-837.30752942337199</v>
      </c>
      <c r="D25" s="9">
        <v>-875.076548001638</v>
      </c>
      <c r="E25" s="9">
        <v>-876.19414915496804</v>
      </c>
      <c r="F25" s="9">
        <v>-877.42078359108496</v>
      </c>
      <c r="G25" s="9">
        <v>-861.39655131347695</v>
      </c>
      <c r="H25" s="10">
        <v>-862.61223900720495</v>
      </c>
      <c r="J25" s="19" t="s">
        <v>33</v>
      </c>
      <c r="K25" s="20">
        <f>C52</f>
        <v>0</v>
      </c>
      <c r="L25" s="20">
        <f>D52-$C$56</f>
        <v>0.17594899371437123</v>
      </c>
      <c r="M25" s="20">
        <f>E52-$C$55</f>
        <v>-0.19194658304605983</v>
      </c>
      <c r="N25" s="20">
        <f>F52-$C$55</f>
        <v>0.13896974567079323</v>
      </c>
      <c r="O25" s="20">
        <f>G52+$C$54-$C$55</f>
        <v>-0.18108441251090812</v>
      </c>
      <c r="P25" s="21">
        <f>H52-$C$55</f>
        <v>-5.3567496566201411E-2</v>
      </c>
      <c r="R25" s="30" t="s">
        <v>32</v>
      </c>
      <c r="S25" s="28">
        <v>0</v>
      </c>
      <c r="T25" s="28">
        <v>-0.15927831764329597</v>
      </c>
      <c r="U25" s="28">
        <v>-0.48223282611395524</v>
      </c>
      <c r="V25" s="28">
        <v>-0.14650970236139138</v>
      </c>
      <c r="W25" s="28">
        <v>-1.1275652439037802</v>
      </c>
      <c r="X25" s="45">
        <v>-1.482233630065062</v>
      </c>
      <c r="Y25" s="30" t="b">
        <v>1</v>
      </c>
      <c r="Z25" s="31" t="b">
        <v>0</v>
      </c>
      <c r="AA25" s="49" t="b">
        <v>1</v>
      </c>
    </row>
    <row r="26" spans="2:27" ht="17" thickBot="1" x14ac:dyDescent="0.25">
      <c r="B26" s="11" t="s">
        <v>32</v>
      </c>
      <c r="C26" s="9">
        <v>-1444.3734804872199</v>
      </c>
      <c r="D26" s="9">
        <v>-1482.1435800097499</v>
      </c>
      <c r="E26" s="9">
        <v>-1483.32740026446</v>
      </c>
      <c r="F26" s="9">
        <v>-1484.4988822933799</v>
      </c>
      <c r="G26" s="9">
        <v>-1468.4847940106599</v>
      </c>
      <c r="H26" s="10">
        <v>-1469.70536548933</v>
      </c>
      <c r="R26" s="33" t="s">
        <v>33</v>
      </c>
      <c r="S26" s="34">
        <v>0</v>
      </c>
      <c r="T26" s="34">
        <v>4.7875721189680416</v>
      </c>
      <c r="U26" s="34">
        <v>-5.2228665246832877</v>
      </c>
      <c r="V26" s="34">
        <v>3.7813667797022839</v>
      </c>
      <c r="W26" s="34">
        <v>-4.9273068644218103</v>
      </c>
      <c r="X26" s="47">
        <v>-1.4575715815663404</v>
      </c>
      <c r="Y26" s="33" t="b">
        <v>0</v>
      </c>
      <c r="Z26" s="35" t="b">
        <v>0</v>
      </c>
      <c r="AA26" s="56" t="b">
        <v>0</v>
      </c>
    </row>
    <row r="27" spans="2:27" ht="17" thickBot="1" x14ac:dyDescent="0.25">
      <c r="B27" s="19" t="s">
        <v>33</v>
      </c>
      <c r="C27" s="20">
        <v>-958.61139429278001</v>
      </c>
      <c r="D27" s="20">
        <v>-996.19969115317804</v>
      </c>
      <c r="E27" s="20">
        <v>-997.55773535858896</v>
      </c>
      <c r="F27" s="20">
        <v>-998.58486323528302</v>
      </c>
      <c r="G27" s="20">
        <v>-982.71041999558099</v>
      </c>
      <c r="H27" s="21">
        <v>-983.93008511451205</v>
      </c>
    </row>
    <row r="28" spans="2:27" ht="17" thickBot="1" x14ac:dyDescent="0.25">
      <c r="K28">
        <v>1</v>
      </c>
      <c r="L28">
        <v>2</v>
      </c>
      <c r="M28">
        <v>3</v>
      </c>
      <c r="N28">
        <v>4</v>
      </c>
      <c r="O28">
        <v>5</v>
      </c>
      <c r="P28">
        <v>6</v>
      </c>
    </row>
    <row r="29" spans="2:27" x14ac:dyDescent="0.2">
      <c r="B29" s="5" t="s">
        <v>49</v>
      </c>
      <c r="C29" s="6"/>
      <c r="D29" s="6"/>
      <c r="E29" s="6"/>
      <c r="F29" s="6"/>
      <c r="G29" s="6"/>
      <c r="H29" s="7"/>
      <c r="J29" s="5" t="s">
        <v>51</v>
      </c>
      <c r="K29" s="6"/>
      <c r="L29" s="6"/>
      <c r="M29" s="6"/>
      <c r="N29" s="6"/>
      <c r="O29" s="6"/>
      <c r="P29" s="7"/>
      <c r="R29" s="23"/>
      <c r="S29" s="24"/>
      <c r="T29" s="24" t="s">
        <v>51</v>
      </c>
      <c r="U29" s="24"/>
      <c r="V29" s="24"/>
      <c r="W29" s="24"/>
      <c r="X29" s="24"/>
      <c r="Y29" s="24"/>
      <c r="Z29" s="25"/>
    </row>
    <row r="30" spans="2:27" x14ac:dyDescent="0.2">
      <c r="B30" s="11" t="s">
        <v>13</v>
      </c>
      <c r="C30" s="9">
        <f>C5-C5</f>
        <v>0</v>
      </c>
      <c r="D30" s="9">
        <f>D5-C5</f>
        <v>-37.773498572680182</v>
      </c>
      <c r="E30" s="9">
        <f>E5-D5</f>
        <v>-1.1655551930798538</v>
      </c>
      <c r="F30" s="9">
        <f>F5-E5</f>
        <v>-1.1720038227799705</v>
      </c>
      <c r="G30" s="9">
        <f>G5-F5</f>
        <v>16.013141247160092</v>
      </c>
      <c r="H30" s="10">
        <f>H5-G5</f>
        <v>-1.218216625849891</v>
      </c>
      <c r="J30" s="11" t="s">
        <v>13</v>
      </c>
      <c r="K30" s="9">
        <f>K3*27.21</f>
        <v>0</v>
      </c>
      <c r="L30" s="9">
        <f t="shared" ref="L30:P30" si="0">L3*27.21</f>
        <v>-0.25176647222928128</v>
      </c>
      <c r="M30" s="9">
        <f t="shared" si="0"/>
        <v>1.4759500845020111E-2</v>
      </c>
      <c r="N30" s="9">
        <f t="shared" si="0"/>
        <v>-0.16070771329515601</v>
      </c>
      <c r="O30" s="9">
        <f t="shared" si="0"/>
        <v>-1.1533340814879811</v>
      </c>
      <c r="P30" s="10">
        <f t="shared" si="0"/>
        <v>-1.4181580848276925</v>
      </c>
      <c r="R30" s="8" t="b">
        <v>0</v>
      </c>
      <c r="S30" s="9" t="s">
        <v>52</v>
      </c>
      <c r="T30" s="9" t="s">
        <v>13</v>
      </c>
      <c r="U30" s="9">
        <v>0</v>
      </c>
      <c r="V30" s="9">
        <v>-0.25176647222928128</v>
      </c>
      <c r="W30" s="9">
        <v>1.4759500845020111E-2</v>
      </c>
      <c r="X30" s="9">
        <v>-0.16070771329515601</v>
      </c>
      <c r="Y30" s="9">
        <v>-1.1533340814879811</v>
      </c>
      <c r="Z30" s="10">
        <v>-1.4181580848276925</v>
      </c>
    </row>
    <row r="31" spans="2:27" x14ac:dyDescent="0.2">
      <c r="B31" s="11" t="s">
        <v>15</v>
      </c>
      <c r="C31" s="9">
        <f t="shared" ref="C31:C52" si="1">C6-C6</f>
        <v>0</v>
      </c>
      <c r="D31" s="9">
        <f t="shared" ref="D31:H52" si="2">D6-C6</f>
        <v>-37.76629582753003</v>
      </c>
      <c r="E31" s="9">
        <f t="shared" si="2"/>
        <v>-1.1695151467899905</v>
      </c>
      <c r="F31" s="9">
        <f t="shared" si="2"/>
        <v>-1.1058497959299984</v>
      </c>
      <c r="G31" s="9">
        <f t="shared" si="2"/>
        <v>15.95478405066001</v>
      </c>
      <c r="H31" s="10">
        <f t="shared" si="2"/>
        <v>-1.1865567714398821</v>
      </c>
      <c r="J31" s="11" t="s">
        <v>15</v>
      </c>
      <c r="K31" s="9">
        <f t="shared" ref="K31:P52" si="3">K4*27.21</f>
        <v>0</v>
      </c>
      <c r="L31" s="9">
        <f t="shared" si="3"/>
        <v>-5.577977669362838E-2</v>
      </c>
      <c r="M31" s="9">
        <f t="shared" si="3"/>
        <v>-9.2990839607799164E-2</v>
      </c>
      <c r="N31" s="9">
        <f t="shared" si="3"/>
        <v>1.639343357292584</v>
      </c>
      <c r="O31" s="9">
        <f t="shared" si="3"/>
        <v>-2.7412333982552357</v>
      </c>
      <c r="P31" s="10">
        <f t="shared" si="3"/>
        <v>-0.55669344633135165</v>
      </c>
      <c r="R31" s="8" t="b">
        <v>0</v>
      </c>
      <c r="S31" s="9"/>
      <c r="T31" s="9" t="s">
        <v>15</v>
      </c>
      <c r="U31" s="9">
        <v>0</v>
      </c>
      <c r="V31" s="9">
        <v>-5.577977669362838E-2</v>
      </c>
      <c r="W31" s="9">
        <v>-9.2990839607799164E-2</v>
      </c>
      <c r="X31" s="9">
        <v>1.639343357292584</v>
      </c>
      <c r="Y31" s="9">
        <v>-2.7412333982552357</v>
      </c>
      <c r="Z31" s="10">
        <v>-0.55669344633135165</v>
      </c>
    </row>
    <row r="32" spans="2:27" x14ac:dyDescent="0.2">
      <c r="B32" s="11" t="s">
        <v>14</v>
      </c>
      <c r="C32" s="9">
        <f t="shared" si="1"/>
        <v>0</v>
      </c>
      <c r="D32" s="9">
        <f t="shared" si="2"/>
        <v>-37.775716932339947</v>
      </c>
      <c r="E32" s="9">
        <f t="shared" si="2"/>
        <v>-1.1844725681501131</v>
      </c>
      <c r="F32" s="9">
        <f t="shared" si="2"/>
        <v>-1.1791614662099619</v>
      </c>
      <c r="G32" s="9">
        <f t="shared" si="2"/>
        <v>16.017585348439979</v>
      </c>
      <c r="H32" s="10">
        <f t="shared" si="2"/>
        <v>-1.2127007436199619</v>
      </c>
      <c r="J32" s="11" t="s">
        <v>14</v>
      </c>
      <c r="K32" s="9">
        <f t="shared" si="3"/>
        <v>0</v>
      </c>
      <c r="L32" s="9">
        <f t="shared" si="3"/>
        <v>-0.31212803857146643</v>
      </c>
      <c r="M32" s="9">
        <f t="shared" si="3"/>
        <v>-0.49998227481673729</v>
      </c>
      <c r="N32" s="9">
        <f t="shared" si="3"/>
        <v>-0.35546719102522112</v>
      </c>
      <c r="O32" s="9">
        <f t="shared" si="3"/>
        <v>-1.0324100856622549</v>
      </c>
      <c r="P32" s="10">
        <f t="shared" si="3"/>
        <v>-1.268070929351323</v>
      </c>
      <c r="R32" s="8" t="b">
        <v>1</v>
      </c>
      <c r="S32" s="9"/>
      <c r="T32" s="9" t="s">
        <v>14</v>
      </c>
      <c r="U32" s="9">
        <v>0</v>
      </c>
      <c r="V32" s="9">
        <v>-0.31212803857146643</v>
      </c>
      <c r="W32" s="9">
        <v>-0.49998227481673729</v>
      </c>
      <c r="X32" s="9">
        <v>-0.35546719102522112</v>
      </c>
      <c r="Y32" s="9">
        <v>-1.0324100856622549</v>
      </c>
      <c r="Z32" s="10">
        <v>-1.268070929351323</v>
      </c>
    </row>
    <row r="33" spans="2:26" x14ac:dyDescent="0.2">
      <c r="B33" s="11" t="s">
        <v>16</v>
      </c>
      <c r="C33" s="9">
        <f t="shared" si="1"/>
        <v>0</v>
      </c>
      <c r="D33" s="9">
        <f t="shared" si="2"/>
        <v>-37.772700210629864</v>
      </c>
      <c r="E33" s="9">
        <f t="shared" si="2"/>
        <v>-1.1897059950699713</v>
      </c>
      <c r="F33" s="9">
        <f t="shared" si="2"/>
        <v>-1.1765313049202177</v>
      </c>
      <c r="G33" s="9">
        <f t="shared" si="2"/>
        <v>16.011617192980111</v>
      </c>
      <c r="H33" s="10">
        <f t="shared" si="2"/>
        <v>-1.2206856413899914</v>
      </c>
      <c r="J33" s="11" t="s">
        <v>16</v>
      </c>
      <c r="K33" s="9">
        <f t="shared" si="3"/>
        <v>0</v>
      </c>
      <c r="L33" s="9">
        <f t="shared" si="3"/>
        <v>-0.23004304084012178</v>
      </c>
      <c r="M33" s="9">
        <f t="shared" si="3"/>
        <v>-0.6423838213060783</v>
      </c>
      <c r="N33" s="9">
        <f t="shared" si="3"/>
        <v>-0.28390050233128311</v>
      </c>
      <c r="O33" s="9">
        <f t="shared" si="3"/>
        <v>-1.194803595725271</v>
      </c>
      <c r="P33" s="10">
        <f t="shared" si="3"/>
        <v>-1.4853399976738235</v>
      </c>
      <c r="R33" s="8" t="b">
        <v>1</v>
      </c>
      <c r="S33" s="9"/>
      <c r="T33" s="9" t="s">
        <v>16</v>
      </c>
      <c r="U33" s="9">
        <v>0</v>
      </c>
      <c r="V33" s="9">
        <v>-0.23004304084012178</v>
      </c>
      <c r="W33" s="9">
        <v>-0.6423838213060783</v>
      </c>
      <c r="X33" s="9">
        <v>-0.28390050233128311</v>
      </c>
      <c r="Y33" s="9">
        <v>-1.194803595725271</v>
      </c>
      <c r="Z33" s="10">
        <v>-1.4853399976738235</v>
      </c>
    </row>
    <row r="34" spans="2:26" x14ac:dyDescent="0.2">
      <c r="B34" s="11" t="s">
        <v>17</v>
      </c>
      <c r="C34" s="9">
        <f t="shared" si="1"/>
        <v>0</v>
      </c>
      <c r="D34" s="9">
        <f t="shared" si="2"/>
        <v>-37.680096437634006</v>
      </c>
      <c r="E34" s="9">
        <f t="shared" si="2"/>
        <v>-1.1883695788959585</v>
      </c>
      <c r="F34" s="9">
        <f t="shared" si="2"/>
        <v>-1.215019824576018</v>
      </c>
      <c r="G34" s="9">
        <f t="shared" si="2"/>
        <v>16.018036825509</v>
      </c>
      <c r="H34" s="10">
        <f t="shared" si="2"/>
        <v>-1.204439257325987</v>
      </c>
      <c r="J34" s="11" t="s">
        <v>17</v>
      </c>
      <c r="K34" s="9">
        <f t="shared" si="3"/>
        <v>0</v>
      </c>
      <c r="L34" s="9">
        <f t="shared" si="3"/>
        <v>2.2897056223771739</v>
      </c>
      <c r="M34" s="9">
        <f t="shared" si="3"/>
        <v>-0.60601993721118963</v>
      </c>
      <c r="N34" s="9">
        <f t="shared" si="3"/>
        <v>-1.3311731221656078</v>
      </c>
      <c r="O34" s="9">
        <f t="shared" si="3"/>
        <v>-1.0201253946142013</v>
      </c>
      <c r="P34" s="10">
        <f t="shared" si="3"/>
        <v>-1.0432758872922649</v>
      </c>
      <c r="R34" s="8" t="b">
        <v>0</v>
      </c>
      <c r="S34" s="9"/>
      <c r="T34" s="9" t="s">
        <v>17</v>
      </c>
      <c r="U34" s="9">
        <v>0</v>
      </c>
      <c r="V34" s="9">
        <v>2.2897056223771739</v>
      </c>
      <c r="W34" s="9">
        <v>-0.60601993721118963</v>
      </c>
      <c r="X34" s="9">
        <v>-1.3311731221656078</v>
      </c>
      <c r="Y34" s="9">
        <v>-1.0201253946142013</v>
      </c>
      <c r="Z34" s="10">
        <v>-1.0432758872922649</v>
      </c>
    </row>
    <row r="35" spans="2:26" x14ac:dyDescent="0.2">
      <c r="B35" s="11" t="s">
        <v>18</v>
      </c>
      <c r="C35" s="9">
        <f t="shared" si="1"/>
        <v>0</v>
      </c>
      <c r="D35" s="9">
        <f t="shared" si="2"/>
        <v>-37.714952055595973</v>
      </c>
      <c r="E35" s="9">
        <f t="shared" si="2"/>
        <v>-1.0985735737430105</v>
      </c>
      <c r="F35" s="9">
        <f t="shared" si="2"/>
        <v>-1.2074004964690062</v>
      </c>
      <c r="G35" s="9">
        <f t="shared" si="2"/>
        <v>16.001704450939997</v>
      </c>
      <c r="H35" s="10">
        <f t="shared" si="2"/>
        <v>-1.2380547289919832</v>
      </c>
      <c r="J35" s="11" t="s">
        <v>18</v>
      </c>
      <c r="K35" s="9">
        <f t="shared" si="3"/>
        <v>0</v>
      </c>
      <c r="L35" s="9">
        <f t="shared" si="3"/>
        <v>1.3412842576320696</v>
      </c>
      <c r="M35" s="9">
        <f t="shared" si="3"/>
        <v>1.837329363000527</v>
      </c>
      <c r="N35" s="9">
        <f t="shared" si="3"/>
        <v>-1.123851204373816</v>
      </c>
      <c r="O35" s="9">
        <f t="shared" si="3"/>
        <v>-1.4645293066367893</v>
      </c>
      <c r="P35" s="10">
        <f t="shared" si="3"/>
        <v>-1.9579528713240217</v>
      </c>
      <c r="R35" s="8" t="b">
        <v>0</v>
      </c>
      <c r="S35" s="9"/>
      <c r="T35" s="9" t="s">
        <v>18</v>
      </c>
      <c r="U35" s="9">
        <v>0</v>
      </c>
      <c r="V35" s="9">
        <v>1.3412842576320696</v>
      </c>
      <c r="W35" s="9">
        <v>1.837329363000527</v>
      </c>
      <c r="X35" s="9">
        <v>-1.123851204373816</v>
      </c>
      <c r="Y35" s="9">
        <v>-1.4645293066367893</v>
      </c>
      <c r="Z35" s="10">
        <v>-1.9579528713240217</v>
      </c>
    </row>
    <row r="36" spans="2:26" x14ac:dyDescent="0.2">
      <c r="B36" s="11" t="s">
        <v>19</v>
      </c>
      <c r="C36" s="9">
        <f t="shared" si="1"/>
        <v>0</v>
      </c>
      <c r="D36" s="9">
        <f t="shared" si="2"/>
        <v>-37.858503447620024</v>
      </c>
      <c r="E36" s="9">
        <f t="shared" si="2"/>
        <v>-1.0763121818099535</v>
      </c>
      <c r="F36" s="9">
        <f t="shared" si="2"/>
        <v>-1.1156882685500022</v>
      </c>
      <c r="G36" s="9">
        <f t="shared" si="2"/>
        <v>15.964514329932967</v>
      </c>
      <c r="H36" s="10">
        <f t="shared" si="2"/>
        <v>-1.2338994140640125</v>
      </c>
      <c r="J36" s="11" t="s">
        <v>19</v>
      </c>
      <c r="K36" s="9">
        <f t="shared" si="3"/>
        <v>0</v>
      </c>
      <c r="L36" s="9">
        <f t="shared" si="3"/>
        <v>-2.5647491193423577</v>
      </c>
      <c r="M36" s="9">
        <f t="shared" si="3"/>
        <v>2.4430618374990076</v>
      </c>
      <c r="N36" s="9">
        <f t="shared" si="3"/>
        <v>1.3716385173022803</v>
      </c>
      <c r="O36" s="9">
        <f t="shared" si="3"/>
        <v>-2.4764724992380516</v>
      </c>
      <c r="P36" s="10">
        <f t="shared" si="3"/>
        <v>-1.8448867521339385</v>
      </c>
      <c r="R36" s="8" t="b">
        <v>0</v>
      </c>
      <c r="S36" s="9"/>
      <c r="T36" s="9" t="s">
        <v>19</v>
      </c>
      <c r="U36" s="9">
        <v>0</v>
      </c>
      <c r="V36" s="9">
        <v>-2.5647491193423577</v>
      </c>
      <c r="W36" s="9">
        <v>2.4430618374990076</v>
      </c>
      <c r="X36" s="9">
        <v>1.3716385173022803</v>
      </c>
      <c r="Y36" s="9">
        <v>-2.4764724992380516</v>
      </c>
      <c r="Z36" s="10">
        <v>-1.8448867521339385</v>
      </c>
    </row>
    <row r="37" spans="2:26" x14ac:dyDescent="0.2">
      <c r="B37" s="13" t="s">
        <v>20</v>
      </c>
      <c r="C37" s="9">
        <f t="shared" si="1"/>
        <v>0</v>
      </c>
      <c r="D37" s="9">
        <f t="shared" si="2"/>
        <v>-37.68321640186798</v>
      </c>
      <c r="E37" s="9">
        <f t="shared" si="2"/>
        <v>-1.2265160801239858</v>
      </c>
      <c r="F37" s="9">
        <f t="shared" si="2"/>
        <v>-1.1807909170520361</v>
      </c>
      <c r="G37" s="9">
        <f t="shared" si="2"/>
        <v>16.073861060304012</v>
      </c>
      <c r="H37" s="10">
        <f t="shared" si="2"/>
        <v>-1.2790318601660147</v>
      </c>
      <c r="J37" s="13" t="s">
        <v>20</v>
      </c>
      <c r="K37" s="9">
        <f t="shared" si="3"/>
        <v>0</v>
      </c>
      <c r="L37" s="9">
        <f t="shared" si="3"/>
        <v>2.2048113955707329</v>
      </c>
      <c r="M37" s="9">
        <f t="shared" si="3"/>
        <v>-1.643986235625813</v>
      </c>
      <c r="N37" s="9">
        <f t="shared" si="3"/>
        <v>-0.39980454843806063</v>
      </c>
      <c r="O37" s="9">
        <f t="shared" si="3"/>
        <v>0.49885203415805646</v>
      </c>
      <c r="P37" s="10">
        <f t="shared" si="3"/>
        <v>-3.0729406105694177</v>
      </c>
      <c r="R37" s="8" t="b">
        <v>0</v>
      </c>
      <c r="S37" s="9"/>
      <c r="T37" s="9" t="s">
        <v>20</v>
      </c>
      <c r="U37" s="9">
        <v>0</v>
      </c>
      <c r="V37" s="9">
        <v>2.2048113955707329</v>
      </c>
      <c r="W37" s="9">
        <v>-1.643986235625813</v>
      </c>
      <c r="X37" s="9">
        <v>-0.39980454843806063</v>
      </c>
      <c r="Y37" s="9">
        <v>0.49885203415805646</v>
      </c>
      <c r="Z37" s="10">
        <v>-3.0729406105694177</v>
      </c>
    </row>
    <row r="38" spans="2:26" x14ac:dyDescent="0.2">
      <c r="B38" s="11" t="s">
        <v>41</v>
      </c>
      <c r="C38" s="9">
        <f t="shared" si="1"/>
        <v>0</v>
      </c>
      <c r="D38" s="9">
        <f t="shared" si="2"/>
        <v>-37.686283499850106</v>
      </c>
      <c r="E38" s="9">
        <f t="shared" si="2"/>
        <v>-1.1146846941499007</v>
      </c>
      <c r="F38" s="9">
        <f t="shared" si="2"/>
        <v>-1.2277646907700728</v>
      </c>
      <c r="G38" s="9">
        <f t="shared" si="2"/>
        <v>16.026302611910069</v>
      </c>
      <c r="H38" s="10">
        <f t="shared" si="2"/>
        <v>-1.2731983852199846</v>
      </c>
      <c r="J38" s="11" t="s">
        <v>41</v>
      </c>
      <c r="K38" s="9">
        <f t="shared" si="3"/>
        <v>0</v>
      </c>
      <c r="L38" s="9">
        <f t="shared" si="3"/>
        <v>2.1213556594771052</v>
      </c>
      <c r="M38" s="9">
        <f t="shared" si="3"/>
        <v>1.3989457767290441</v>
      </c>
      <c r="N38" s="9">
        <f t="shared" si="3"/>
        <v>-1.6779609313058388</v>
      </c>
      <c r="O38" s="9">
        <f t="shared" si="3"/>
        <v>-0.79521334664112864</v>
      </c>
      <c r="P38" s="10">
        <f t="shared" si="3"/>
        <v>-2.9142117572879402</v>
      </c>
      <c r="R38" s="8" t="b">
        <v>0</v>
      </c>
      <c r="S38" s="9"/>
      <c r="T38" s="9" t="s">
        <v>41</v>
      </c>
      <c r="U38" s="9">
        <v>0</v>
      </c>
      <c r="V38" s="9">
        <v>2.1213556594771052</v>
      </c>
      <c r="W38" s="9">
        <v>1.3989457767290441</v>
      </c>
      <c r="X38" s="9">
        <v>-1.6779609313058388</v>
      </c>
      <c r="Y38" s="9">
        <v>-0.79521334664112864</v>
      </c>
      <c r="Z38" s="10">
        <v>-2.9142117572879402</v>
      </c>
    </row>
    <row r="39" spans="2:26" x14ac:dyDescent="0.2">
      <c r="B39" s="11" t="s">
        <v>21</v>
      </c>
      <c r="C39" s="9">
        <f t="shared" si="1"/>
        <v>0</v>
      </c>
      <c r="D39" s="9">
        <f t="shared" si="2"/>
        <v>-37.755143092018045</v>
      </c>
      <c r="E39" s="9">
        <f t="shared" si="2"/>
        <v>-1.1901474279319473</v>
      </c>
      <c r="F39" s="9">
        <f t="shared" si="2"/>
        <v>-1.2326602734710832</v>
      </c>
      <c r="G39" s="9">
        <f t="shared" si="2"/>
        <v>16.05708726674402</v>
      </c>
      <c r="H39" s="10">
        <f t="shared" si="2"/>
        <v>-1.1505250813959265</v>
      </c>
      <c r="J39" s="11" t="s">
        <v>21</v>
      </c>
      <c r="K39" s="9">
        <f t="shared" si="3"/>
        <v>0</v>
      </c>
      <c r="L39" s="9">
        <f t="shared" si="3"/>
        <v>0.24768615658747536</v>
      </c>
      <c r="M39" s="9">
        <f t="shared" si="3"/>
        <v>-0.65439520948044394</v>
      </c>
      <c r="N39" s="9">
        <f t="shared" si="3"/>
        <v>-1.8111697366003325</v>
      </c>
      <c r="O39" s="9">
        <f t="shared" si="3"/>
        <v>4.243711139068379E-2</v>
      </c>
      <c r="P39" s="10">
        <f t="shared" si="3"/>
        <v>0.4237288397646824</v>
      </c>
      <c r="R39" s="8" t="b">
        <v>0</v>
      </c>
      <c r="S39" s="9" t="s">
        <v>52</v>
      </c>
      <c r="T39" s="9" t="s">
        <v>21</v>
      </c>
      <c r="U39" s="9">
        <v>0</v>
      </c>
      <c r="V39" s="9">
        <v>0.24768615658747536</v>
      </c>
      <c r="W39" s="9">
        <v>-0.65439520948044394</v>
      </c>
      <c r="X39" s="9">
        <v>-1.8111697366003325</v>
      </c>
      <c r="Y39" s="9">
        <v>4.243711139068379E-2</v>
      </c>
      <c r="Z39" s="10">
        <v>0.4237288397646824</v>
      </c>
    </row>
    <row r="40" spans="2:26" x14ac:dyDescent="0.2">
      <c r="B40" s="11" t="s">
        <v>22</v>
      </c>
      <c r="C40" s="9">
        <f t="shared" si="1"/>
        <v>0</v>
      </c>
      <c r="D40" s="9">
        <f t="shared" si="2"/>
        <v>-37.767272943140142</v>
      </c>
      <c r="E40" s="9">
        <f t="shared" si="2"/>
        <v>-1.1709026644302867</v>
      </c>
      <c r="F40" s="9">
        <f>F15-E15</f>
        <v>1.446379377300218</v>
      </c>
      <c r="G40" s="9">
        <f t="shared" si="2"/>
        <v>13.401388232320187</v>
      </c>
      <c r="H40" s="10">
        <f t="shared" si="2"/>
        <v>-1.2260935173103462</v>
      </c>
      <c r="J40" s="11" t="s">
        <v>22</v>
      </c>
      <c r="K40" s="9">
        <f t="shared" si="3"/>
        <v>0</v>
      </c>
      <c r="L40" s="9">
        <f t="shared" si="3"/>
        <v>-8.2367092444786183E-2</v>
      </c>
      <c r="M40" s="9">
        <f t="shared" si="3"/>
        <v>-0.13074519460025905</v>
      </c>
      <c r="N40" s="9">
        <f t="shared" si="3"/>
        <v>71.085499160886769</v>
      </c>
      <c r="O40" s="9">
        <f t="shared" si="3"/>
        <v>-72.21913361528182</v>
      </c>
      <c r="P40" s="10">
        <f t="shared" si="3"/>
        <v>-1.6324883014666791</v>
      </c>
      <c r="R40" s="8" t="b">
        <v>0</v>
      </c>
      <c r="S40" s="9"/>
      <c r="T40" s="9" t="s">
        <v>22</v>
      </c>
      <c r="U40" s="9">
        <v>0</v>
      </c>
      <c r="V40" s="9">
        <v>-8.2367092444786183E-2</v>
      </c>
      <c r="W40" s="9">
        <v>-0.13074519460025905</v>
      </c>
      <c r="X40" s="9">
        <v>71.085499160886769</v>
      </c>
      <c r="Y40" s="9">
        <v>-72.21913361528182</v>
      </c>
      <c r="Z40" s="10">
        <v>-1.6324883014666791</v>
      </c>
    </row>
    <row r="41" spans="2:26" x14ac:dyDescent="0.2">
      <c r="B41" s="11" t="s">
        <v>23</v>
      </c>
      <c r="C41" s="9">
        <f t="shared" si="1"/>
        <v>0</v>
      </c>
      <c r="D41" s="9">
        <f t="shared" si="2"/>
        <v>-37.769395574150167</v>
      </c>
      <c r="E41" s="9">
        <f t="shared" si="2"/>
        <v>-1.1821293455898285</v>
      </c>
      <c r="F41" s="9">
        <f t="shared" si="2"/>
        <v>-1.1730100416700679</v>
      </c>
      <c r="G41" s="9">
        <f t="shared" si="2"/>
        <v>16.003907595649935</v>
      </c>
      <c r="H41" s="10">
        <f t="shared" si="2"/>
        <v>-1.2200504353199904</v>
      </c>
      <c r="J41" s="11" t="s">
        <v>23</v>
      </c>
      <c r="K41" s="9">
        <f t="shared" si="3"/>
        <v>0</v>
      </c>
      <c r="L41" s="9">
        <f t="shared" si="3"/>
        <v>-0.14012388222755648</v>
      </c>
      <c r="M41" s="9">
        <f t="shared" si="3"/>
        <v>-0.4362231889513925</v>
      </c>
      <c r="N41" s="9">
        <f t="shared" si="3"/>
        <v>-0.18808692929470744</v>
      </c>
      <c r="O41" s="9">
        <f t="shared" si="3"/>
        <v>-1.4045817390793767</v>
      </c>
      <c r="P41" s="10">
        <f t="shared" si="3"/>
        <v>-1.4680560405090961</v>
      </c>
      <c r="R41" s="8" t="b">
        <v>1</v>
      </c>
      <c r="S41" s="9"/>
      <c r="T41" s="9" t="s">
        <v>23</v>
      </c>
      <c r="U41" s="9">
        <v>0</v>
      </c>
      <c r="V41" s="9">
        <v>-0.14012388222755648</v>
      </c>
      <c r="W41" s="9">
        <v>-0.4362231889513925</v>
      </c>
      <c r="X41" s="9">
        <v>-0.18808692929470744</v>
      </c>
      <c r="Y41" s="9">
        <v>-1.4045817390793767</v>
      </c>
      <c r="Z41" s="10">
        <v>-1.4680560405090961</v>
      </c>
    </row>
    <row r="42" spans="2:26" x14ac:dyDescent="0.2">
      <c r="B42" s="11" t="s">
        <v>24</v>
      </c>
      <c r="C42" s="9">
        <f t="shared" si="1"/>
        <v>0</v>
      </c>
      <c r="D42" s="9">
        <f t="shared" si="2"/>
        <v>-37.650961268613969</v>
      </c>
      <c r="E42" s="9">
        <f t="shared" si="2"/>
        <v>-1.1542000076640306</v>
      </c>
      <c r="F42" s="9">
        <f t="shared" si="2"/>
        <v>-1.1925021758410139</v>
      </c>
      <c r="G42" s="9">
        <f t="shared" si="2"/>
        <v>15.985116941101978</v>
      </c>
      <c r="H42" s="10">
        <f t="shared" si="2"/>
        <v>-1.1499478056080079</v>
      </c>
      <c r="J42" s="11" t="s">
        <v>24</v>
      </c>
      <c r="K42" s="9">
        <f t="shared" si="3"/>
        <v>0</v>
      </c>
      <c r="L42" s="9">
        <f t="shared" si="3"/>
        <v>3.0824735714123865</v>
      </c>
      <c r="M42" s="9">
        <f t="shared" si="3"/>
        <v>0.32373409600956787</v>
      </c>
      <c r="N42" s="9">
        <f t="shared" si="3"/>
        <v>-0.71846790008614736</v>
      </c>
      <c r="O42" s="9">
        <f t="shared" si="3"/>
        <v>-1.9158754493292693</v>
      </c>
      <c r="P42" s="10">
        <f t="shared" si="3"/>
        <v>0.43943651395394617</v>
      </c>
      <c r="R42" s="8" t="b">
        <v>0</v>
      </c>
      <c r="S42" s="9"/>
      <c r="T42" s="9" t="s">
        <v>24</v>
      </c>
      <c r="U42" s="9">
        <v>0</v>
      </c>
      <c r="V42" s="9">
        <v>3.0824735714123865</v>
      </c>
      <c r="W42" s="9">
        <v>0.32373409600956787</v>
      </c>
      <c r="X42" s="9">
        <v>-0.71846790008614736</v>
      </c>
      <c r="Y42" s="9">
        <v>-1.9158754493292693</v>
      </c>
      <c r="Z42" s="10">
        <v>0.43943651395394617</v>
      </c>
    </row>
    <row r="43" spans="2:26" x14ac:dyDescent="0.2">
      <c r="B43" s="11" t="s">
        <v>25</v>
      </c>
      <c r="C43" s="9">
        <f t="shared" si="1"/>
        <v>0</v>
      </c>
      <c r="D43" s="9">
        <f t="shared" si="2"/>
        <v>-37.568522626300137</v>
      </c>
      <c r="E43" s="9">
        <f t="shared" si="2"/>
        <v>-1.3930262285898607</v>
      </c>
      <c r="F43" s="9">
        <f t="shared" si="2"/>
        <v>-0.88304327595005816</v>
      </c>
      <c r="G43" s="9">
        <f t="shared" si="2"/>
        <v>15.856955875579843</v>
      </c>
      <c r="H43" s="10">
        <f t="shared" si="2"/>
        <v>-1.3413889895698503</v>
      </c>
      <c r="J43" s="11" t="s">
        <v>25</v>
      </c>
      <c r="K43" s="9">
        <f t="shared" si="3"/>
        <v>0</v>
      </c>
      <c r="L43" s="9">
        <f t="shared" si="3"/>
        <v>5.3256290287717585</v>
      </c>
      <c r="M43" s="9">
        <f t="shared" si="3"/>
        <v>-6.1747273753822682</v>
      </c>
      <c r="N43" s="9">
        <f t="shared" si="3"/>
        <v>7.7019087659467589</v>
      </c>
      <c r="O43" s="9">
        <f t="shared" si="3"/>
        <v>-5.4031380421865816</v>
      </c>
      <c r="P43" s="10">
        <f t="shared" si="3"/>
        <v>-4.7696781016477861</v>
      </c>
      <c r="R43" s="8" t="b">
        <v>0</v>
      </c>
      <c r="S43" s="9"/>
      <c r="T43" s="9" t="s">
        <v>25</v>
      </c>
      <c r="U43" s="9">
        <v>0</v>
      </c>
      <c r="V43" s="9">
        <v>5.3256290287717585</v>
      </c>
      <c r="W43" s="9">
        <v>-6.1747273753822682</v>
      </c>
      <c r="X43" s="9">
        <v>7.7019087659467589</v>
      </c>
      <c r="Y43" s="9">
        <v>-5.4031380421865816</v>
      </c>
      <c r="Z43" s="10">
        <v>-4.7696781016477861</v>
      </c>
    </row>
    <row r="44" spans="2:26" x14ac:dyDescent="0.2">
      <c r="B44" s="11" t="s">
        <v>26</v>
      </c>
      <c r="C44" s="9">
        <f t="shared" si="1"/>
        <v>0</v>
      </c>
      <c r="D44" s="9">
        <f t="shared" si="2"/>
        <v>-37.773439068699872</v>
      </c>
      <c r="E44" s="9">
        <f t="shared" si="2"/>
        <v>-1.185363221120042</v>
      </c>
      <c r="F44" s="9">
        <f t="shared" si="2"/>
        <v>-1.1862603663500977</v>
      </c>
      <c r="G44" s="9">
        <f t="shared" si="2"/>
        <v>16.025648530820035</v>
      </c>
      <c r="H44" s="10">
        <f t="shared" si="2"/>
        <v>-1.2171366569100428</v>
      </c>
      <c r="J44" s="11" t="s">
        <v>26</v>
      </c>
      <c r="K44" s="9">
        <f t="shared" si="3"/>
        <v>0</v>
      </c>
      <c r="L44" s="9">
        <f t="shared" si="3"/>
        <v>-0.25014736892504119</v>
      </c>
      <c r="M44" s="9">
        <f t="shared" si="3"/>
        <v>-0.52421694212850134</v>
      </c>
      <c r="N44" s="9">
        <f t="shared" si="3"/>
        <v>-0.54862826383831653</v>
      </c>
      <c r="O44" s="9">
        <f t="shared" si="3"/>
        <v>-0.81301089310093433</v>
      </c>
      <c r="P44" s="10">
        <f t="shared" si="3"/>
        <v>-1.3887721299744233</v>
      </c>
      <c r="R44" s="8" t="b">
        <v>1</v>
      </c>
      <c r="S44" s="9"/>
      <c r="T44" s="9" t="s">
        <v>26</v>
      </c>
      <c r="U44" s="9">
        <v>0</v>
      </c>
      <c r="V44" s="9">
        <v>-0.25014736892504119</v>
      </c>
      <c r="W44" s="9">
        <v>-0.52421694212850134</v>
      </c>
      <c r="X44" s="9">
        <v>-0.54862826383831653</v>
      </c>
      <c r="Y44" s="9">
        <v>-0.81301089310093433</v>
      </c>
      <c r="Z44" s="10">
        <v>-1.3887721299744233</v>
      </c>
    </row>
    <row r="45" spans="2:26" x14ac:dyDescent="0.2">
      <c r="B45" s="14" t="s">
        <v>34</v>
      </c>
      <c r="C45" s="9"/>
      <c r="D45" s="9"/>
      <c r="E45" s="9"/>
      <c r="F45" s="9"/>
      <c r="G45" s="9"/>
      <c r="H45" s="10"/>
      <c r="J45" s="14" t="s">
        <v>34</v>
      </c>
      <c r="K45">
        <v>0</v>
      </c>
      <c r="P45" s="10"/>
      <c r="R45" s="8" t="b">
        <v>1</v>
      </c>
      <c r="S45" s="9"/>
      <c r="T45" s="9" t="s">
        <v>34</v>
      </c>
      <c r="U45" s="9">
        <v>0</v>
      </c>
      <c r="V45" s="9">
        <v>-0.32592454141506738</v>
      </c>
      <c r="W45" s="9">
        <v>-0.21179507895658345</v>
      </c>
      <c r="X45" s="9">
        <v>-0.93760140234894318</v>
      </c>
      <c r="Y45" s="9">
        <v>-0.11681498783205262</v>
      </c>
      <c r="Z45" s="10">
        <v>-1.4126787927002216</v>
      </c>
    </row>
    <row r="46" spans="2:26" x14ac:dyDescent="0.2">
      <c r="B46" s="17" t="s">
        <v>27</v>
      </c>
      <c r="C46" s="9"/>
      <c r="D46" s="9"/>
      <c r="E46" s="9"/>
      <c r="F46" s="9"/>
      <c r="G46" s="9"/>
      <c r="H46" s="10"/>
      <c r="J46" s="17" t="s">
        <v>27</v>
      </c>
      <c r="K46" s="9">
        <f t="shared" si="3"/>
        <v>0</v>
      </c>
      <c r="L46" s="9"/>
      <c r="M46" s="9"/>
      <c r="N46" s="9"/>
      <c r="O46" s="9"/>
      <c r="P46" s="10"/>
      <c r="R46" s="8"/>
      <c r="S46" s="9"/>
      <c r="T46" s="9" t="s">
        <v>27</v>
      </c>
      <c r="U46" s="9">
        <v>0</v>
      </c>
      <c r="V46" s="9"/>
      <c r="W46" s="9"/>
      <c r="X46" s="9"/>
      <c r="Y46" s="9"/>
      <c r="Z46" s="10"/>
    </row>
    <row r="47" spans="2:26" x14ac:dyDescent="0.2">
      <c r="B47" s="17" t="s">
        <v>28</v>
      </c>
      <c r="C47" s="9"/>
      <c r="D47" s="9"/>
      <c r="E47" s="9"/>
      <c r="F47" s="9"/>
      <c r="G47" s="9"/>
      <c r="H47" s="10"/>
      <c r="J47" s="17" t="s">
        <v>28</v>
      </c>
      <c r="K47" s="9">
        <f t="shared" si="3"/>
        <v>0</v>
      </c>
      <c r="L47" s="9"/>
      <c r="M47" s="9"/>
      <c r="N47" s="9"/>
      <c r="O47" s="9"/>
      <c r="P47" s="10"/>
      <c r="R47" s="8"/>
      <c r="S47" s="9"/>
      <c r="T47" s="9" t="s">
        <v>28</v>
      </c>
      <c r="U47" s="9">
        <v>0</v>
      </c>
      <c r="V47" s="9"/>
      <c r="W47" s="9"/>
      <c r="X47" s="9"/>
      <c r="Y47" s="9"/>
      <c r="Z47" s="10"/>
    </row>
    <row r="48" spans="2:26" x14ac:dyDescent="0.2">
      <c r="B48" s="11" t="s">
        <v>29</v>
      </c>
      <c r="C48" s="9">
        <f t="shared" si="1"/>
        <v>0</v>
      </c>
      <c r="D48" s="9">
        <f t="shared" si="2"/>
        <v>-37.558452027274996</v>
      </c>
      <c r="E48" s="9">
        <f t="shared" si="2"/>
        <v>-1.3551917832809863</v>
      </c>
      <c r="F48" s="9">
        <f t="shared" si="2"/>
        <v>-1.1800718394990213</v>
      </c>
      <c r="G48" s="9">
        <f t="shared" si="2"/>
        <v>16.013397651933985</v>
      </c>
      <c r="H48" s="10">
        <f t="shared" si="2"/>
        <v>-1.2318343342869866</v>
      </c>
      <c r="J48" s="11" t="s">
        <v>29</v>
      </c>
      <c r="K48" s="9">
        <f t="shared" si="3"/>
        <v>0</v>
      </c>
      <c r="L48" s="9">
        <f t="shared" si="3"/>
        <v>5.5996500282458532</v>
      </c>
      <c r="M48" s="9">
        <f t="shared" si="3"/>
        <v>-5.1452521185277966</v>
      </c>
      <c r="N48" s="9">
        <f t="shared" si="3"/>
        <v>-0.3802384482205276</v>
      </c>
      <c r="O48" s="9">
        <f t="shared" si="3"/>
        <v>-1.1463573075903557</v>
      </c>
      <c r="P48" s="10">
        <f t="shared" si="3"/>
        <v>-1.7886959314010649</v>
      </c>
      <c r="R48" s="8" t="b">
        <v>0</v>
      </c>
      <c r="S48" s="9"/>
      <c r="T48" s="9" t="s">
        <v>29</v>
      </c>
      <c r="U48" s="9">
        <v>0</v>
      </c>
      <c r="V48" s="9">
        <v>5.5996500282458532</v>
      </c>
      <c r="W48" s="9">
        <v>-5.1452521185277966</v>
      </c>
      <c r="X48" s="9">
        <v>-0.3802384482205276</v>
      </c>
      <c r="Y48" s="9">
        <v>-1.1463573075903557</v>
      </c>
      <c r="Z48" s="10">
        <v>-1.7886959314010649</v>
      </c>
    </row>
    <row r="49" spans="2:26" x14ac:dyDescent="0.2">
      <c r="B49" s="11" t="s">
        <v>30</v>
      </c>
      <c r="C49" s="9">
        <f t="shared" si="1"/>
        <v>0</v>
      </c>
      <c r="D49" s="9">
        <f t="shared" si="2"/>
        <v>-37.673653120187964</v>
      </c>
      <c r="E49" s="9">
        <f t="shared" si="2"/>
        <v>-1.1998709619880401</v>
      </c>
      <c r="F49" s="9">
        <f t="shared" si="2"/>
        <v>-1.2284873302119195</v>
      </c>
      <c r="G49" s="9">
        <f t="shared" si="2"/>
        <v>16.019050337612953</v>
      </c>
      <c r="H49" s="10">
        <f t="shared" si="2"/>
        <v>-1.2119292523050262</v>
      </c>
      <c r="J49" s="11" t="s">
        <v>30</v>
      </c>
      <c r="K49" s="9">
        <f t="shared" si="3"/>
        <v>0</v>
      </c>
      <c r="L49" s="9">
        <f t="shared" si="3"/>
        <v>2.4650282900839735</v>
      </c>
      <c r="M49" s="9">
        <f t="shared" si="3"/>
        <v>-0.91897257114672992</v>
      </c>
      <c r="N49" s="9">
        <f t="shared" si="3"/>
        <v>-1.6976239505184874</v>
      </c>
      <c r="O49" s="9">
        <f t="shared" si="3"/>
        <v>-0.99254773026565346</v>
      </c>
      <c r="P49" s="10">
        <f t="shared" si="3"/>
        <v>-1.2470786506719225</v>
      </c>
      <c r="R49" s="8" t="b">
        <v>0</v>
      </c>
      <c r="S49" s="9"/>
      <c r="T49" s="9" t="s">
        <v>30</v>
      </c>
      <c r="U49" s="9">
        <v>0</v>
      </c>
      <c r="V49" s="9">
        <v>2.4650282900839735</v>
      </c>
      <c r="W49" s="9">
        <v>-0.91897257114672992</v>
      </c>
      <c r="X49" s="9">
        <v>-1.6976239505184874</v>
      </c>
      <c r="Y49" s="9">
        <v>-0.99254773026565346</v>
      </c>
      <c r="Z49" s="10">
        <v>-1.2470786506719225</v>
      </c>
    </row>
    <row r="50" spans="2:26" x14ac:dyDescent="0.2">
      <c r="B50" s="11" t="s">
        <v>31</v>
      </c>
      <c r="C50" s="9">
        <f t="shared" si="1"/>
        <v>0</v>
      </c>
      <c r="D50" s="9">
        <f t="shared" si="2"/>
        <v>-37.769018578266014</v>
      </c>
      <c r="E50" s="9">
        <f t="shared" si="2"/>
        <v>-1.1176011533300425</v>
      </c>
      <c r="F50" s="9">
        <f t="shared" si="2"/>
        <v>-1.2266344361169104</v>
      </c>
      <c r="G50" s="9">
        <f t="shared" si="2"/>
        <v>16.024232277608007</v>
      </c>
      <c r="H50" s="10">
        <f t="shared" si="2"/>
        <v>-1.2156876937280003</v>
      </c>
      <c r="J50" s="11" t="s">
        <v>31</v>
      </c>
      <c r="K50" s="9">
        <f t="shared" si="3"/>
        <v>0</v>
      </c>
      <c r="L50" s="9">
        <f t="shared" si="3"/>
        <v>-0.12986582421975129</v>
      </c>
      <c r="M50" s="9">
        <f t="shared" si="3"/>
        <v>1.3195889224373849</v>
      </c>
      <c r="N50" s="9">
        <f t="shared" si="3"/>
        <v>-1.6472067021932897</v>
      </c>
      <c r="O50" s="9">
        <f t="shared" si="3"/>
        <v>-0.85154714300021883</v>
      </c>
      <c r="P50" s="10">
        <f t="shared" si="3"/>
        <v>-1.3493458417910478</v>
      </c>
      <c r="R50" s="8" t="b">
        <v>0</v>
      </c>
      <c r="S50" s="9"/>
      <c r="T50" s="9" t="s">
        <v>31</v>
      </c>
      <c r="U50" s="9">
        <v>0</v>
      </c>
      <c r="V50" s="9">
        <v>-0.12986582421975129</v>
      </c>
      <c r="W50" s="9">
        <v>1.3195889224373849</v>
      </c>
      <c r="X50" s="9">
        <v>-1.6472067021932897</v>
      </c>
      <c r="Y50" s="9">
        <v>-0.85154714300021883</v>
      </c>
      <c r="Z50" s="10">
        <v>-1.3493458417910478</v>
      </c>
    </row>
    <row r="51" spans="2:26" x14ac:dyDescent="0.2">
      <c r="B51" s="11" t="s">
        <v>32</v>
      </c>
      <c r="C51" s="9">
        <f t="shared" si="1"/>
        <v>0</v>
      </c>
      <c r="D51" s="9">
        <f t="shared" si="2"/>
        <v>-37.770099522530018</v>
      </c>
      <c r="E51" s="9">
        <f t="shared" si="2"/>
        <v>-1.1838202547100991</v>
      </c>
      <c r="F51" s="9">
        <f t="shared" si="2"/>
        <v>-1.1714820289198542</v>
      </c>
      <c r="G51" s="9">
        <f t="shared" si="2"/>
        <v>16.014088282719968</v>
      </c>
      <c r="H51" s="10">
        <f t="shared" si="2"/>
        <v>-1.220571478670081</v>
      </c>
      <c r="J51" s="11" t="s">
        <v>32</v>
      </c>
      <c r="K51" s="9">
        <f t="shared" si="3"/>
        <v>0</v>
      </c>
      <c r="L51" s="9">
        <f t="shared" si="3"/>
        <v>-0.15927831764329597</v>
      </c>
      <c r="M51" s="9">
        <f t="shared" si="3"/>
        <v>-0.48223282611395524</v>
      </c>
      <c r="N51" s="9">
        <f t="shared" si="3"/>
        <v>-0.14650970236139138</v>
      </c>
      <c r="O51" s="9">
        <f t="shared" si="3"/>
        <v>-1.1275652439037802</v>
      </c>
      <c r="P51" s="10">
        <f t="shared" si="3"/>
        <v>-1.482233630065062</v>
      </c>
      <c r="R51" s="8" t="b">
        <v>1</v>
      </c>
      <c r="S51" s="9"/>
      <c r="T51" s="9" t="s">
        <v>32</v>
      </c>
      <c r="U51" s="9">
        <v>0</v>
      </c>
      <c r="V51" s="9">
        <v>-0.15927831764329597</v>
      </c>
      <c r="W51" s="9">
        <v>-0.48223282611395524</v>
      </c>
      <c r="X51" s="9">
        <v>-0.14650970236139138</v>
      </c>
      <c r="Y51" s="9">
        <v>-1.1275652439037802</v>
      </c>
      <c r="Z51" s="10">
        <v>-1.482233630065062</v>
      </c>
    </row>
    <row r="52" spans="2:26" ht="17" thickBot="1" x14ac:dyDescent="0.25">
      <c r="B52" s="19" t="s">
        <v>33</v>
      </c>
      <c r="C52" s="20">
        <f t="shared" si="1"/>
        <v>0</v>
      </c>
      <c r="D52" s="20">
        <f t="shared" si="2"/>
        <v>-37.588296860398032</v>
      </c>
      <c r="E52" s="20">
        <f t="shared" si="2"/>
        <v>-1.3580442054109199</v>
      </c>
      <c r="F52" s="20">
        <f t="shared" si="2"/>
        <v>-1.0271278766940668</v>
      </c>
      <c r="G52" s="20">
        <f t="shared" si="2"/>
        <v>15.874443239702032</v>
      </c>
      <c r="H52" s="21">
        <f t="shared" si="2"/>
        <v>-1.2196651189310614</v>
      </c>
      <c r="J52" s="19" t="s">
        <v>33</v>
      </c>
      <c r="K52" s="20">
        <f t="shared" si="3"/>
        <v>0</v>
      </c>
      <c r="L52" s="20">
        <f t="shared" si="3"/>
        <v>4.7875721189680416</v>
      </c>
      <c r="M52" s="20">
        <f t="shared" si="3"/>
        <v>-5.2228665246832877</v>
      </c>
      <c r="N52" s="20">
        <f t="shared" si="3"/>
        <v>3.7813667797022839</v>
      </c>
      <c r="O52" s="20">
        <f t="shared" si="3"/>
        <v>-4.9273068644218103</v>
      </c>
      <c r="P52" s="21">
        <f t="shared" si="3"/>
        <v>-1.4575715815663404</v>
      </c>
      <c r="R52" s="26" t="b">
        <v>0</v>
      </c>
      <c r="S52" s="20"/>
      <c r="T52" s="20" t="s">
        <v>33</v>
      </c>
      <c r="U52" s="20">
        <v>0</v>
      </c>
      <c r="V52" s="20">
        <v>4.7875721189680416</v>
      </c>
      <c r="W52" s="20">
        <v>-5.2228665246832877</v>
      </c>
      <c r="X52" s="20">
        <v>3.7813667797022839</v>
      </c>
      <c r="Y52" s="20">
        <v>-4.9273068644218103</v>
      </c>
      <c r="Z52" s="21">
        <v>-1.4575715815663404</v>
      </c>
    </row>
    <row r="54" spans="2:26" x14ac:dyDescent="0.2">
      <c r="B54" s="4" t="s">
        <v>43</v>
      </c>
      <c r="C54">
        <v>-17.2216252745778</v>
      </c>
    </row>
    <row r="55" spans="2:26" x14ac:dyDescent="0.2">
      <c r="B55" s="4" t="s">
        <v>1</v>
      </c>
      <c r="C55">
        <v>-1.16609762236486</v>
      </c>
    </row>
    <row r="56" spans="2:26" x14ac:dyDescent="0.2">
      <c r="B56" s="4" t="s">
        <v>2</v>
      </c>
      <c r="C56">
        <v>-37.764245854112403</v>
      </c>
    </row>
    <row r="57" spans="2:26" x14ac:dyDescent="0.2">
      <c r="B57" s="4" t="s">
        <v>44</v>
      </c>
      <c r="C57">
        <v>-8.0757502297823205</v>
      </c>
    </row>
  </sheetData>
  <mergeCells count="7">
    <mergeCell ref="B2:H2"/>
    <mergeCell ref="B29:H29"/>
    <mergeCell ref="J2:P2"/>
    <mergeCell ref="J29:P29"/>
    <mergeCell ref="R2:AA2"/>
    <mergeCell ref="S20:X20"/>
    <mergeCell ref="S21:X21"/>
  </mergeCells>
  <pageMargins left="0.7" right="0.7" top="0.75" bottom="0.75" header="0.3" footer="0.3"/>
  <ignoredErrors>
    <ignoredError sqref="B6 B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2438-741E-7F4D-A620-EDD1C06A4FDD}">
  <dimension ref="A2:Q48"/>
  <sheetViews>
    <sheetView workbookViewId="0">
      <selection activeCell="H44" sqref="H44"/>
    </sheetView>
  </sheetViews>
  <sheetFormatPr baseColWidth="10" defaultRowHeight="16" x14ac:dyDescent="0.2"/>
  <cols>
    <col min="3" max="3" width="18.33203125" customWidth="1"/>
    <col min="13" max="13" width="10.6640625" customWidth="1"/>
    <col min="14" max="14" width="12.33203125" customWidth="1"/>
  </cols>
  <sheetData>
    <row r="2" spans="2:7" x14ac:dyDescent="0.2">
      <c r="B2" t="s">
        <v>5</v>
      </c>
      <c r="C2" t="s">
        <v>6</v>
      </c>
      <c r="D2" t="s">
        <v>3</v>
      </c>
      <c r="E2" t="s">
        <v>4</v>
      </c>
      <c r="G2" t="s">
        <v>7</v>
      </c>
    </row>
    <row r="3" spans="2:7" x14ac:dyDescent="0.2">
      <c r="B3">
        <v>1</v>
      </c>
      <c r="C3">
        <v>-549.07623517941499</v>
      </c>
      <c r="D3">
        <f>C3-C3</f>
        <v>0</v>
      </c>
      <c r="E3">
        <f>D3*27.2113</f>
        <v>0</v>
      </c>
      <c r="G3">
        <v>27.211383856556299</v>
      </c>
    </row>
    <row r="4" spans="2:7" x14ac:dyDescent="0.2">
      <c r="B4">
        <v>2</v>
      </c>
      <c r="C4">
        <v>-549.08821272335501</v>
      </c>
      <c r="D4">
        <f>C4-C3</f>
        <v>-1.1977543940020041E-2</v>
      </c>
      <c r="E4">
        <f t="shared" ref="E4:E7" si="0">D4*27.2113</f>
        <v>-0.32592454141506738</v>
      </c>
    </row>
    <row r="5" spans="2:7" x14ac:dyDescent="0.2">
      <c r="B5">
        <v>3</v>
      </c>
      <c r="C5">
        <v>-549.09599607361599</v>
      </c>
      <c r="D5">
        <f t="shared" ref="D5:D7" si="1">C5-C4</f>
        <v>-7.7833502609792049E-3</v>
      </c>
      <c r="E5">
        <f t="shared" si="0"/>
        <v>-0.21179507895658345</v>
      </c>
    </row>
    <row r="6" spans="2:7" x14ac:dyDescent="0.2">
      <c r="B6">
        <v>4</v>
      </c>
      <c r="C6">
        <v>-549.13045239883195</v>
      </c>
      <c r="D6">
        <f t="shared" si="1"/>
        <v>-3.4456325215955985E-2</v>
      </c>
      <c r="E6">
        <f t="shared" si="0"/>
        <v>-0.93760140234894318</v>
      </c>
    </row>
    <row r="7" spans="2:7" x14ac:dyDescent="0.2">
      <c r="B7">
        <v>5</v>
      </c>
      <c r="C7">
        <v>-549.13474528406095</v>
      </c>
      <c r="D7">
        <f t="shared" si="1"/>
        <v>-4.2928852290060604E-3</v>
      </c>
      <c r="E7">
        <f t="shared" si="0"/>
        <v>-0.11681498783205262</v>
      </c>
    </row>
    <row r="11" spans="2:7" x14ac:dyDescent="0.2">
      <c r="B11">
        <v>1</v>
      </c>
      <c r="C11">
        <v>-549.07623517941499</v>
      </c>
      <c r="D11">
        <v>0</v>
      </c>
      <c r="E11">
        <f>D11*27.21113</f>
        <v>0</v>
      </c>
    </row>
    <row r="12" spans="2:7" x14ac:dyDescent="0.2">
      <c r="B12">
        <v>2</v>
      </c>
      <c r="C12">
        <v>-549.08821416903504</v>
      </c>
      <c r="D12">
        <f>C12-C11</f>
        <v>-1.1978989620047287E-2</v>
      </c>
      <c r="E12">
        <f t="shared" ref="E12:E15" si="2">D12*27.21113</f>
        <v>-0.32596184381975735</v>
      </c>
    </row>
    <row r="13" spans="2:7" x14ac:dyDescent="0.2">
      <c r="B13">
        <v>3</v>
      </c>
      <c r="C13">
        <v>-549.08122577783502</v>
      </c>
      <c r="D13">
        <f t="shared" ref="D13:D15" si="3">C13-C12</f>
        <v>6.9883912000250348E-3</v>
      </c>
      <c r="E13">
        <f t="shared" si="2"/>
        <v>0.19016202143473723</v>
      </c>
    </row>
    <row r="14" spans="2:7" x14ac:dyDescent="0.2">
      <c r="B14">
        <v>4</v>
      </c>
      <c r="C14">
        <v>-549.13047629969697</v>
      </c>
      <c r="D14">
        <f t="shared" si="3"/>
        <v>-4.9250521861949892E-2</v>
      </c>
      <c r="E14">
        <f t="shared" si="2"/>
        <v>-1.3401623529533606</v>
      </c>
    </row>
    <row r="15" spans="2:7" x14ac:dyDescent="0.2">
      <c r="B15">
        <v>5</v>
      </c>
      <c r="C15">
        <v>-549.178620794739</v>
      </c>
      <c r="D15">
        <f t="shared" si="3"/>
        <v>-4.8144495042038216E-2</v>
      </c>
      <c r="E15">
        <f t="shared" si="2"/>
        <v>-1.3100661133732574</v>
      </c>
    </row>
    <row r="20" spans="1:17" ht="17" x14ac:dyDescent="0.25">
      <c r="C20" s="1"/>
      <c r="H20" t="s">
        <v>9</v>
      </c>
      <c r="L20" t="s">
        <v>8</v>
      </c>
      <c r="N20" t="s">
        <v>10</v>
      </c>
      <c r="O20" s="1" t="s">
        <v>11</v>
      </c>
    </row>
    <row r="21" spans="1:17" ht="17" x14ac:dyDescent="0.25">
      <c r="A21">
        <v>1</v>
      </c>
      <c r="B21">
        <v>1</v>
      </c>
      <c r="C21" s="1">
        <v>-549.07621800000004</v>
      </c>
      <c r="D21">
        <v>0</v>
      </c>
      <c r="E21">
        <f>D21*27.21138</f>
        <v>0</v>
      </c>
      <c r="F21">
        <v>1</v>
      </c>
      <c r="G21">
        <v>1</v>
      </c>
      <c r="H21" s="1">
        <v>-549.07621800000004</v>
      </c>
      <c r="I21">
        <v>0</v>
      </c>
      <c r="J21">
        <f>I21*27.2113</f>
        <v>0</v>
      </c>
      <c r="K21">
        <v>1</v>
      </c>
      <c r="L21">
        <v>-549.07623517941499</v>
      </c>
      <c r="M21">
        <v>0</v>
      </c>
      <c r="N21" s="2">
        <f>L21-H21</f>
        <v>-1.7179414953716332E-5</v>
      </c>
      <c r="O21">
        <f>I21-M21</f>
        <v>0</v>
      </c>
      <c r="P21" t="e">
        <f>(I21-M21)/M21</f>
        <v>#DIV/0!</v>
      </c>
      <c r="Q21" t="e">
        <f>P21*100</f>
        <v>#DIV/0!</v>
      </c>
    </row>
    <row r="22" spans="1:17" x14ac:dyDescent="0.2">
      <c r="B22">
        <v>2</v>
      </c>
      <c r="C22">
        <v>-549.05402000000004</v>
      </c>
      <c r="D22">
        <f>C22-C21</f>
        <v>2.2198000000003049E-2</v>
      </c>
      <c r="E22">
        <f t="shared" ref="E22:E33" si="4">D22*27.21138</f>
        <v>0.60403821324008289</v>
      </c>
      <c r="F22">
        <v>2</v>
      </c>
      <c r="G22">
        <v>4</v>
      </c>
      <c r="H22">
        <v>-549.05816300000004</v>
      </c>
      <c r="I22">
        <f>H22-H21</f>
        <v>1.8055000000003929E-2</v>
      </c>
      <c r="J22">
        <f t="shared" ref="J22:J25" si="5">I22*27.2113</f>
        <v>0.49130002150010693</v>
      </c>
      <c r="K22">
        <v>2</v>
      </c>
      <c r="L22">
        <v>-549.08821416903504</v>
      </c>
      <c r="M22">
        <f>L22-L21</f>
        <v>-1.1978989620047287E-2</v>
      </c>
      <c r="N22" s="2">
        <f>L22-H22</f>
        <v>-3.0051169035004932E-2</v>
      </c>
      <c r="O22">
        <f>I22-M22</f>
        <v>3.0033989620051216E-2</v>
      </c>
      <c r="P22">
        <f>(I22-M22)/M22</f>
        <v>-2.507222276058092</v>
      </c>
      <c r="Q22">
        <f t="shared" ref="Q22:Q25" si="6">P22*100</f>
        <v>-250.72222760580919</v>
      </c>
    </row>
    <row r="23" spans="1:17" x14ac:dyDescent="0.2">
      <c r="B23">
        <v>3</v>
      </c>
      <c r="C23">
        <v>-549.05985999999996</v>
      </c>
      <c r="D23">
        <f t="shared" ref="D23:D33" si="7">C23-C22</f>
        <v>-5.8399999999210195E-3</v>
      </c>
      <c r="E23">
        <f t="shared" si="4"/>
        <v>-0.15891445919785083</v>
      </c>
      <c r="F23">
        <v>3</v>
      </c>
      <c r="G23">
        <v>7</v>
      </c>
      <c r="H23">
        <v>-549.07949599999995</v>
      </c>
      <c r="I23">
        <f t="shared" ref="I23:I25" si="8">H23-H22</f>
        <v>-2.1332999999913227E-2</v>
      </c>
      <c r="J23">
        <f t="shared" si="5"/>
        <v>-0.58049866289763885</v>
      </c>
      <c r="K23">
        <v>3</v>
      </c>
      <c r="L23">
        <v>-549.08122577783502</v>
      </c>
      <c r="M23">
        <f t="shared" ref="M23:M25" si="9">L23-L22</f>
        <v>6.9883912000250348E-3</v>
      </c>
      <c r="N23" s="2">
        <f>L23-H23</f>
        <v>-1.7297778350666704E-3</v>
      </c>
      <c r="O23">
        <f>I23-M23</f>
        <v>-2.8321391199938262E-2</v>
      </c>
      <c r="P23">
        <f>(I23-M23)/M23</f>
        <v>-4.0526339166354637</v>
      </c>
      <c r="Q23">
        <f t="shared" si="6"/>
        <v>-405.26339166354637</v>
      </c>
    </row>
    <row r="24" spans="1:17" x14ac:dyDescent="0.2">
      <c r="A24">
        <v>2</v>
      </c>
      <c r="B24">
        <v>4</v>
      </c>
      <c r="C24">
        <v>-549.05816300000004</v>
      </c>
      <c r="D24">
        <f t="shared" si="7"/>
        <v>1.6969999999218999E-3</v>
      </c>
      <c r="E24">
        <f t="shared" si="4"/>
        <v>4.6177711857874788E-2</v>
      </c>
      <c r="F24">
        <v>4</v>
      </c>
      <c r="G24">
        <v>10</v>
      </c>
      <c r="H24">
        <v>-549.11569099999997</v>
      </c>
      <c r="I24">
        <f t="shared" si="8"/>
        <v>-3.6195000000020627E-2</v>
      </c>
      <c r="J24">
        <f t="shared" si="5"/>
        <v>-0.98491300350056132</v>
      </c>
      <c r="K24">
        <v>4</v>
      </c>
      <c r="L24">
        <v>-549.13047629969697</v>
      </c>
      <c r="M24">
        <f t="shared" si="9"/>
        <v>-4.9250521861949892E-2</v>
      </c>
      <c r="N24" s="2">
        <f>L24-H24</f>
        <v>-1.4785299696995935E-2</v>
      </c>
      <c r="O24">
        <f>I24-M24</f>
        <v>1.3055521861929265E-2</v>
      </c>
      <c r="P24">
        <f>(I24-M24)/M24</f>
        <v>-0.26508392943579623</v>
      </c>
      <c r="Q24">
        <f t="shared" si="6"/>
        <v>-26.508392943579622</v>
      </c>
    </row>
    <row r="25" spans="1:17" ht="17" x14ac:dyDescent="0.25">
      <c r="B25">
        <v>5</v>
      </c>
      <c r="C25">
        <v>-549.08480499999996</v>
      </c>
      <c r="D25">
        <f t="shared" si="7"/>
        <v>-2.6641999999924337E-2</v>
      </c>
      <c r="E25">
        <f t="shared" si="4"/>
        <v>-0.72496558595794103</v>
      </c>
      <c r="F25">
        <v>5</v>
      </c>
      <c r="G25">
        <v>13</v>
      </c>
      <c r="H25" s="1">
        <v>-549.12382200000002</v>
      </c>
      <c r="I25">
        <f t="shared" si="8"/>
        <v>-8.1310000000485161E-3</v>
      </c>
      <c r="J25">
        <f t="shared" si="5"/>
        <v>-0.22125508030132018</v>
      </c>
      <c r="K25">
        <v>5</v>
      </c>
      <c r="L25">
        <v>-549.178620794739</v>
      </c>
      <c r="M25">
        <f t="shared" si="9"/>
        <v>-4.8144495042038216E-2</v>
      </c>
      <c r="N25" s="2">
        <f>L25-H25</f>
        <v>-5.4798794738985634E-2</v>
      </c>
      <c r="O25">
        <f>I25-M25</f>
        <v>4.00134950419897E-2</v>
      </c>
      <c r="P25">
        <f>(I25-M25)/M25</f>
        <v>-0.83111257075292222</v>
      </c>
      <c r="Q25">
        <f t="shared" si="6"/>
        <v>-83.111257075292215</v>
      </c>
    </row>
    <row r="26" spans="1:17" x14ac:dyDescent="0.2">
      <c r="B26">
        <v>6</v>
      </c>
      <c r="C26">
        <v>-549.08029199999999</v>
      </c>
      <c r="D26">
        <f t="shared" si="7"/>
        <v>4.5129999999744541E-3</v>
      </c>
      <c r="E26">
        <f t="shared" si="4"/>
        <v>0.12280495793930485</v>
      </c>
    </row>
    <row r="27" spans="1:17" x14ac:dyDescent="0.2">
      <c r="A27">
        <v>3</v>
      </c>
      <c r="B27">
        <v>7</v>
      </c>
      <c r="C27">
        <v>-549.07949599999995</v>
      </c>
      <c r="D27">
        <f t="shared" si="7"/>
        <v>7.9600000003665627E-4</v>
      </c>
      <c r="E27">
        <f t="shared" si="4"/>
        <v>2.1660258480997466E-2</v>
      </c>
    </row>
    <row r="28" spans="1:17" x14ac:dyDescent="0.2">
      <c r="B28">
        <v>8</v>
      </c>
      <c r="C28">
        <v>-549.07543399999997</v>
      </c>
      <c r="D28">
        <f t="shared" si="7"/>
        <v>4.0619999999762513E-3</v>
      </c>
      <c r="E28">
        <f t="shared" si="4"/>
        <v>0.11053262555935375</v>
      </c>
    </row>
    <row r="29" spans="1:17" x14ac:dyDescent="0.2">
      <c r="B29">
        <v>9</v>
      </c>
      <c r="C29">
        <v>-549.12734899999998</v>
      </c>
      <c r="D29">
        <f t="shared" si="7"/>
        <v>-5.1915000000008149E-2</v>
      </c>
      <c r="E29">
        <f t="shared" si="4"/>
        <v>-1.4126787927002216</v>
      </c>
    </row>
    <row r="30" spans="1:17" x14ac:dyDescent="0.2">
      <c r="A30">
        <v>4</v>
      </c>
      <c r="B30">
        <v>10</v>
      </c>
      <c r="C30">
        <v>-549.11569099999997</v>
      </c>
      <c r="D30">
        <f t="shared" si="7"/>
        <v>1.165800000001127E-2</v>
      </c>
      <c r="E30">
        <f t="shared" si="4"/>
        <v>0.31723026804030668</v>
      </c>
    </row>
    <row r="31" spans="1:17" x14ac:dyDescent="0.2">
      <c r="B31">
        <v>11</v>
      </c>
      <c r="C31">
        <v>-548.99153000000001</v>
      </c>
      <c r="D31">
        <f t="shared" si="7"/>
        <v>0.12416099999995822</v>
      </c>
      <c r="E31">
        <f t="shared" si="4"/>
        <v>3.3785921521788631</v>
      </c>
    </row>
    <row r="32" spans="1:17" x14ac:dyDescent="0.2">
      <c r="B32">
        <v>12</v>
      </c>
      <c r="C32">
        <v>-549.16329199999996</v>
      </c>
      <c r="D32">
        <f t="shared" si="7"/>
        <v>-0.17176199999994424</v>
      </c>
      <c r="E32">
        <f t="shared" si="4"/>
        <v>-4.6738810515584825</v>
      </c>
    </row>
    <row r="33" spans="1:8" ht="17" x14ac:dyDescent="0.25">
      <c r="A33">
        <v>5</v>
      </c>
      <c r="B33">
        <v>13</v>
      </c>
      <c r="C33" s="1">
        <v>-549.12382200000002</v>
      </c>
      <c r="D33">
        <f t="shared" si="7"/>
        <v>3.94699999999375E-2</v>
      </c>
      <c r="E33">
        <f t="shared" si="4"/>
        <v>1.0740331685982991</v>
      </c>
    </row>
    <row r="36" spans="1:8" x14ac:dyDescent="0.2">
      <c r="C36" s="3"/>
      <c r="D36">
        <v>1</v>
      </c>
      <c r="E36">
        <v>0</v>
      </c>
      <c r="G36">
        <v>1</v>
      </c>
      <c r="H36">
        <v>0</v>
      </c>
    </row>
    <row r="37" spans="1:8" x14ac:dyDescent="0.2">
      <c r="C37" s="3"/>
      <c r="D37">
        <v>2</v>
      </c>
      <c r="E37">
        <v>2.2198000000003049E-2</v>
      </c>
      <c r="G37">
        <v>2</v>
      </c>
      <c r="H37">
        <v>0.60403821324008289</v>
      </c>
    </row>
    <row r="38" spans="1:8" x14ac:dyDescent="0.2">
      <c r="C38" s="3"/>
      <c r="D38">
        <v>3</v>
      </c>
      <c r="E38">
        <v>-5.8399999999210195E-3</v>
      </c>
      <c r="G38">
        <v>3</v>
      </c>
      <c r="H38">
        <v>-0.15891445919785083</v>
      </c>
    </row>
    <row r="39" spans="1:8" x14ac:dyDescent="0.2">
      <c r="C39" s="3"/>
      <c r="D39">
        <v>4</v>
      </c>
      <c r="E39">
        <v>1.6969999999218999E-3</v>
      </c>
      <c r="G39">
        <v>4</v>
      </c>
      <c r="H39">
        <v>4.6177711857874788E-2</v>
      </c>
    </row>
    <row r="40" spans="1:8" x14ac:dyDescent="0.2">
      <c r="C40" s="3"/>
      <c r="D40">
        <v>5</v>
      </c>
      <c r="E40">
        <v>-2.6641999999924337E-2</v>
      </c>
      <c r="G40">
        <v>5</v>
      </c>
      <c r="H40">
        <v>-0.72496558595794103</v>
      </c>
    </row>
    <row r="41" spans="1:8" x14ac:dyDescent="0.2">
      <c r="C41" s="3"/>
      <c r="D41">
        <v>6</v>
      </c>
      <c r="E41">
        <v>4.5129999999744541E-3</v>
      </c>
      <c r="G41">
        <v>6</v>
      </c>
      <c r="H41">
        <v>0.12280495793930485</v>
      </c>
    </row>
    <row r="42" spans="1:8" x14ac:dyDescent="0.2">
      <c r="C42" s="3"/>
      <c r="D42">
        <v>7</v>
      </c>
      <c r="E42">
        <v>7.9600000003665627E-4</v>
      </c>
      <c r="G42">
        <v>7</v>
      </c>
      <c r="H42">
        <v>2.1660258480997466E-2</v>
      </c>
    </row>
    <row r="43" spans="1:8" x14ac:dyDescent="0.2">
      <c r="C43" s="3"/>
      <c r="D43">
        <v>8</v>
      </c>
      <c r="E43">
        <v>4.0619999999762513E-3</v>
      </c>
      <c r="G43">
        <v>8</v>
      </c>
      <c r="H43">
        <v>0.11053262555935375</v>
      </c>
    </row>
    <row r="44" spans="1:8" x14ac:dyDescent="0.2">
      <c r="C44" s="3"/>
      <c r="D44">
        <v>9</v>
      </c>
      <c r="E44">
        <v>-5.1915000000008149E-2</v>
      </c>
      <c r="G44">
        <v>9</v>
      </c>
      <c r="H44">
        <v>-1.4126787927002216</v>
      </c>
    </row>
    <row r="45" spans="1:8" x14ac:dyDescent="0.2">
      <c r="C45" s="3"/>
      <c r="D45">
        <v>10</v>
      </c>
      <c r="E45">
        <v>1.165800000001127E-2</v>
      </c>
      <c r="G45">
        <v>10</v>
      </c>
      <c r="H45">
        <v>0.31723026804030668</v>
      </c>
    </row>
    <row r="46" spans="1:8" x14ac:dyDescent="0.2">
      <c r="C46" s="3"/>
      <c r="D46">
        <v>11</v>
      </c>
      <c r="E46">
        <v>0.12416099999995822</v>
      </c>
      <c r="G46">
        <v>11</v>
      </c>
      <c r="H46">
        <v>3.3785921521788631</v>
      </c>
    </row>
    <row r="47" spans="1:8" x14ac:dyDescent="0.2">
      <c r="C47" s="3"/>
      <c r="D47">
        <v>12</v>
      </c>
      <c r="E47">
        <v>-0.17176199999994424</v>
      </c>
      <c r="G47">
        <v>12</v>
      </c>
      <c r="H47">
        <v>-4.6738810515584825</v>
      </c>
    </row>
    <row r="48" spans="1:8" x14ac:dyDescent="0.2">
      <c r="C48" s="3"/>
      <c r="D48">
        <v>13</v>
      </c>
      <c r="E48">
        <v>3.94699999999375E-2</v>
      </c>
      <c r="G48">
        <v>13</v>
      </c>
      <c r="H48">
        <v>1.0740331685982991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Report</vt:lpstr>
      <vt:lpstr>Raw Collection and Calculation</vt:lpstr>
      <vt:lpstr>9f8e842 NEB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Khwaja</dc:creator>
  <cp:lastModifiedBy>Moin Khwaja</cp:lastModifiedBy>
  <dcterms:created xsi:type="dcterms:W3CDTF">2025-02-19T03:00:19Z</dcterms:created>
  <dcterms:modified xsi:type="dcterms:W3CDTF">2025-04-27T10:37:14Z</dcterms:modified>
</cp:coreProperties>
</file>