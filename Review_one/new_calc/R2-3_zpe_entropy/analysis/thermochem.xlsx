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sorbed" sheetId="1" state="visible" r:id="rId3"/>
    <sheet name="GasMolecules" sheetId="2" state="visible" r:id="rId4"/>
    <sheet name="DeltaG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<sst xmlns="http://schemas.openxmlformats.org/spreadsheetml/2006/main" count="346" uniqueCount="71">
  <si>
    <t xml:space="preserve">qmof ID</t>
  </si>
  <si>
    <t xml:space="preserve">Name</t>
  </si>
  <si>
    <t xml:space="preserve">Synth?</t>
  </si>
  <si>
    <t xml:space="preserve">Step</t>
  </si>
  <si>
    <t xml:space="preserve">E_elec (eV)</t>
  </si>
  <si>
    <t xml:space="preserve">ZPE (eV)</t>
  </si>
  <si>
    <t xml:space="preserve">U_vib_T (eV)</t>
  </si>
  <si>
    <t xml:space="preserve">S_vib_qRRHO_298 (J/mol/K)</t>
  </si>
  <si>
    <t xml:space="preserve">T·S_298 (eV)</t>
  </si>
  <si>
    <t xml:space="preserve">G_corr_298 (eV)</t>
  </si>
  <si>
    <t xml:space="preserve">G_298 (eV)</t>
  </si>
  <si>
    <t xml:space="preserve">S_vib_qRRHO_623 (J/mol/K)</t>
  </si>
  <si>
    <t xml:space="preserve">T·S_623 (eV)</t>
  </si>
  <si>
    <t xml:space="preserve">G_corr_623 (eV)</t>
  </si>
  <si>
    <t xml:space="preserve">G_623 (eV)</t>
  </si>
  <si>
    <t xml:space="preserve">04c1119</t>
  </si>
  <si>
    <t xml:space="preserve">Zn-IRMOF-10</t>
  </si>
  <si>
    <t xml:space="preserve">YES</t>
  </si>
  <si>
    <t xml:space="preserve">s0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</si>
  <si>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</si>
  <si>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</si>
  <si>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</si>
  <si>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</si>
  <si>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</si>
  <si>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ea9f3ea</t>
  </si>
  <si>
    <t xml:space="preserve">Ni-MOF-74</t>
  </si>
  <si>
    <t xml:space="preserve">9f8e842</t>
  </si>
  <si>
    <t xml:space="preserve">Mg-MOF-74</t>
  </si>
  <si>
    <t xml:space="preserve">0e64acd</t>
  </si>
  <si>
    <t xml:space="preserve">Al (novel)</t>
  </si>
  <si>
    <t xml:space="preserve">NO</t>
  </si>
  <si>
    <t xml:space="preserve">52ef7e9</t>
  </si>
  <si>
    <t xml:space="preserve">Al-azobenzene (novel)</t>
  </si>
  <si>
    <t xml:space="preserve">91692c9</t>
  </si>
  <si>
    <t xml:space="preserve">07c07d3</t>
  </si>
  <si>
    <t xml:space="preserve">Zn (novel)</t>
  </si>
  <si>
    <t xml:space="preserve">74ace65</t>
  </si>
  <si>
    <t xml:space="preserve">Zn-pyrazole (novel)</t>
  </si>
  <si>
    <t xml:space="preserve">Molecule</t>
  </si>
  <si>
    <t xml:space="preserve">S_trans_298 (J/mol/K)</t>
  </si>
  <si>
    <t xml:space="preserve">S_rot_298 (J/mol/K)</t>
  </si>
  <si>
    <t xml:space="preserve">S_total_298 (J/mol/K)</t>
  </si>
  <si>
    <t xml:space="preserve">H_thermal_298 (eV)</t>
  </si>
  <si>
    <t xml:space="preserve">S_total_623 (J/mol/K)</t>
  </si>
  <si>
    <t xml:space="preserve">H_thermal_623 (eV)</t>
  </si>
  <si>
    <t xml:space="preserve">CO2</t>
  </si>
  <si>
    <t xml:space="preserve">H2</t>
  </si>
  <si>
    <t xml:space="preserve">H2O</t>
  </si>
  <si>
    <t xml:space="preserve">CH4</t>
  </si>
  <si>
    <t xml:space="preserve">n_CO2</t>
  </si>
  <si>
    <t xml:space="preserve">n_H2</t>
  </si>
  <si>
    <t xml:space="preserve">n_H2O (released)</t>
  </si>
  <si>
    <t xml:space="preserve">n_CH4 (released)</t>
  </si>
  <si>
    <t xml:space="preserve">ΔG_298 (eV)</t>
  </si>
  <si>
    <t xml:space="preserve">ΔG_623 (eV)</t>
  </si>
  <si>
    <t xml:space="preserve">Purpose</t>
  </si>
  <si>
    <t xml:space="preserve">Per-stationary-point thermochemistry breakdown for R2-3 (ZPE/H_T/S/G) and the regenerated common-reference ΔG_n that closes R1-5.</t>
  </si>
  <si>
    <t xml:space="preserve">How to populate</t>
  </si>
  <si>
    <t xml:space="preserve">Run analysis/quasi_rrho.py on each CP2K vibrational-analysis .out and copy the printed values into the matching row of Adsorbed/GasMolecules. Cross-sheet formulas on DeltaG will auto-update.</t>
  </si>
  <si>
    <t xml:space="preserve">Stoichiometry convention</t>
  </si>
  <si>
    <t xml:space="preserve">n_CO2 / n_H2 are consumed (positive). n_H2O_released / n_CH4_released are released to gas phase (positive in DeltaG). Stoichiometry per step is hard-coded in DeltaG based on Figure 2 of the paper.</t>
  </si>
  <si>
    <t xml:space="preserve">Gas-phase H_thermal approximation</t>
  </si>
  <si>
    <t xml:space="preserve">For nonlinear gas (H2O, CH4) U_vib + (3/2)kT_trans + (3/2)kT_rot + kT_pV ≈ U_vib + 4kT. For linear gas (CO2, H2) U_vib + (3/2)kT_trans + kT_rot + kT_pV ≈ U_vib + 3.5kT. Spreadsheet uses the nonlinear value; correct the linear cells manually.</t>
  </si>
  <si>
    <t xml:space="preserve">Imaginary frequencies</t>
  </si>
  <si>
    <t xml:space="preserve">Any imaginary frequency &gt; 30i cm-1 means the geometry is not a true minimum. Re-optimize before computing thermochemistry. CP2K prints negative values for imaginary modes in vib output.</t>
  </si>
  <si>
    <t xml:space="preserve">Quasi-RRHO cutoff</t>
  </si>
  <si>
    <t xml:space="preserve">Grimme 2012 cutoff = 100 cm-1. The Python post-processor accepts --cutoff to change this if you want a sensitivity check.</t>
  </si>
  <si>
    <t xml:space="preserve">Temperatures</t>
  </si>
  <si>
    <t xml:space="preserve">298.15 K reported in main text. 623.15 K (350°C, Yasumura operating T) reported in SI. To run a third temperature, copy the columns and adjust formulas.</t>
  </si>
  <si>
    <t xml:space="preserve">Missing data</t>
  </si>
  <si>
    <t xml:space="preserve">Mg-MOF-74 (qmof-9f8e842) currently lacks complete_dft_input entries — locate or rerun before populating its rows.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</si>
</sst>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9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/>
      <c r="F2" s="3"/>
      <c r="G2" s="3"/>
      <c r="H2" s="3"/>
      <c r="I2" s="3" t="n">
        <f aca="false">298.15*H2/96485</f>
        <v>0</v>
      </c>
      <c r="J2" s="3" t="n">
        <f aca="false">F2+G2-I2</f>
        <v>0</v>
      </c>
      <c r="K2" s="3" t="n">
        <f aca="false">E2+J2</f>
        <v>0</v>
      </c>
      <c r="L2" s="3"/>
      <c r="M2" s="3" t="n">
        <f aca="false">623.15*L2/96485</f>
        <v>0</v>
      </c>
      <c r="N2" s="3" t="n">
        <f aca="false">F2+G2-M2</f>
        <v>0</v>
      </c>
      <c r="O2" s="3" t="n">
        <f aca="false">E2+N2</f>
        <v>0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19</v>
      </c>
      <c r="E3" s="3"/>
      <c r="F3" s="3"/>
      <c r="G3" s="3"/>
      <c r="H3" s="3"/>
      <c r="I3" s="3" t="n">
        <f aca="false">298.15*H3/96485</f>
        <v>0</v>
      </c>
      <c r="J3" s="3" t="n">
        <f aca="false">F3+G3-I3</f>
        <v>0</v>
      </c>
      <c r="K3" s="3" t="n">
        <f aca="false">E3+J3</f>
        <v>0</v>
      </c>
      <c r="L3" s="3"/>
      <c r="M3" s="3" t="n">
        <f aca="false">623.15*L3/96485</f>
        <v>0</v>
      </c>
      <c r="N3" s="3" t="n">
        <f aca="false">F3+G3-M3</f>
        <v>0</v>
      </c>
      <c r="O3" s="3" t="n">
        <f aca="false">E3+N3</f>
        <v>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20</v>
      </c>
      <c r="E4" s="3"/>
      <c r="F4" s="3"/>
      <c r="G4" s="3"/>
      <c r="H4" s="3"/>
      <c r="I4" s="3" t="n">
        <f aca="false">298.15*H4/96485</f>
        <v>0</v>
      </c>
      <c r="J4" s="3" t="n">
        <f aca="false">F4+G4-I4</f>
        <v>0</v>
      </c>
      <c r="K4" s="3" t="n">
        <f aca="false">E4+J4</f>
        <v>0</v>
      </c>
      <c r="L4" s="3"/>
      <c r="M4" s="3" t="n">
        <f aca="false">623.15*L4/96485</f>
        <v>0</v>
      </c>
      <c r="N4" s="3" t="n">
        <f aca="false">F4+G4-M4</f>
        <v>0</v>
      </c>
      <c r="O4" s="3" t="n">
        <f aca="false">E4+N4</f>
        <v>0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21</v>
      </c>
      <c r="E5" s="3"/>
      <c r="F5" s="3"/>
      <c r="G5" s="3"/>
      <c r="H5" s="3"/>
      <c r="I5" s="3" t="n">
        <f aca="false">298.15*H5/96485</f>
        <v>0</v>
      </c>
      <c r="J5" s="3" t="n">
        <f aca="false">F5+G5-I5</f>
        <v>0</v>
      </c>
      <c r="K5" s="3" t="n">
        <f aca="false">E5+J5</f>
        <v>0</v>
      </c>
      <c r="L5" s="3"/>
      <c r="M5" s="3" t="n">
        <f aca="false">623.15*L5/96485</f>
        <v>0</v>
      </c>
      <c r="N5" s="3" t="n">
        <f aca="false">F5+G5-M5</f>
        <v>0</v>
      </c>
      <c r="O5" s="3" t="n">
        <f aca="false">E5+N5</f>
        <v>0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  <c r="D6" s="2" t="s">
        <v>22</v>
      </c>
      <c r="E6" s="3"/>
      <c r="F6" s="3"/>
      <c r="G6" s="3"/>
      <c r="H6" s="3"/>
      <c r="I6" s="3" t="n">
        <f aca="false">298.15*H6/96485</f>
        <v>0</v>
      </c>
      <c r="J6" s="3" t="n">
        <f aca="false">F6+G6-I6</f>
        <v>0</v>
      </c>
      <c r="K6" s="3" t="n">
        <f aca="false">E6+J6</f>
        <v>0</v>
      </c>
      <c r="L6" s="3"/>
      <c r="M6" s="3" t="n">
        <f aca="false">623.15*L6/96485</f>
        <v>0</v>
      </c>
      <c r="N6" s="3" t="n">
        <f aca="false">F6+G6-M6</f>
        <v>0</v>
      </c>
      <c r="O6" s="3" t="n">
        <f aca="false">E6+N6</f>
        <v>0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s">
        <v>17</v>
      </c>
      <c r="D7" s="2" t="s">
        <v>23</v>
      </c>
      <c r="E7" s="3"/>
      <c r="F7" s="3"/>
      <c r="G7" s="3"/>
      <c r="H7" s="3"/>
      <c r="I7" s="3" t="n">
        <f aca="false">298.15*H7/96485</f>
        <v>0</v>
      </c>
      <c r="J7" s="3" t="n">
        <f aca="false">F7+G7-I7</f>
        <v>0</v>
      </c>
      <c r="K7" s="3" t="n">
        <f aca="false">E7+J7</f>
        <v>0</v>
      </c>
      <c r="L7" s="3"/>
      <c r="M7" s="3" t="n">
        <f aca="false">623.15*L7/96485</f>
        <v>0</v>
      </c>
      <c r="N7" s="3" t="n">
        <f aca="false">F7+G7-M7</f>
        <v>0</v>
      </c>
      <c r="O7" s="3" t="n">
        <f aca="false">E7+N7</f>
        <v>0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17</v>
      </c>
      <c r="D8" s="2" t="s">
        <v>18</v>
      </c>
      <c r="E8" s="3"/>
      <c r="F8" s="3"/>
      <c r="G8" s="3"/>
      <c r="H8" s="3"/>
      <c r="I8" s="3" t="n">
        <f aca="false">298.15*H8/96485</f>
        <v>0</v>
      </c>
      <c r="J8" s="3" t="n">
        <f aca="false">F8+G8-I8</f>
        <v>0</v>
      </c>
      <c r="K8" s="3" t="n">
        <f aca="false">E8+J8</f>
        <v>0</v>
      </c>
      <c r="L8" s="3"/>
      <c r="M8" s="3" t="n">
        <f aca="false">623.15*L8/96485</f>
        <v>0</v>
      </c>
      <c r="N8" s="3" t="n">
        <f aca="false">F8+G8-M8</f>
        <v>0</v>
      </c>
      <c r="O8" s="3" t="n">
        <f aca="false">E8+N8</f>
        <v>0</v>
      </c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17</v>
      </c>
      <c r="D9" s="2" t="s">
        <v>19</v>
      </c>
      <c r="E9" s="3"/>
      <c r="F9" s="3"/>
      <c r="G9" s="3"/>
      <c r="H9" s="3"/>
      <c r="I9" s="3" t="n">
        <f aca="false">298.15*H9/96485</f>
        <v>0</v>
      </c>
      <c r="J9" s="3" t="n">
        <f aca="false">F9+G9-I9</f>
        <v>0</v>
      </c>
      <c r="K9" s="3" t="n">
        <f aca="false">E9+J9</f>
        <v>0</v>
      </c>
      <c r="L9" s="3"/>
      <c r="M9" s="3" t="n">
        <f aca="false">623.15*L9/96485</f>
        <v>0</v>
      </c>
      <c r="N9" s="3" t="n">
        <f aca="false">F9+G9-M9</f>
        <v>0</v>
      </c>
      <c r="O9" s="3" t="n">
        <f aca="false">E9+N9</f>
        <v>0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17</v>
      </c>
      <c r="D10" s="2" t="s">
        <v>20</v>
      </c>
      <c r="E10" s="3"/>
      <c r="F10" s="3"/>
      <c r="G10" s="3"/>
      <c r="H10" s="3"/>
      <c r="I10" s="3" t="n">
        <f aca="false">298.15*H10/96485</f>
        <v>0</v>
      </c>
      <c r="J10" s="3" t="n">
        <f aca="false">F10+G10-I10</f>
        <v>0</v>
      </c>
      <c r="K10" s="3" t="n">
        <f aca="false">E10+J10</f>
        <v>0</v>
      </c>
      <c r="L10" s="3"/>
      <c r="M10" s="3" t="n">
        <f aca="false">623.15*L10/96485</f>
        <v>0</v>
      </c>
      <c r="N10" s="3" t="n">
        <f aca="false">F10+G10-M10</f>
        <v>0</v>
      </c>
      <c r="O10" s="3" t="n">
        <f aca="false">E10+N10</f>
        <v>0</v>
      </c>
    </row>
    <row r="11" customFormat="false" ht="15" hidden="false" customHeight="false" outlineLevel="0" collapsed="false">
      <c r="A11" s="2" t="s">
        <v>24</v>
      </c>
      <c r="B11" s="2" t="s">
        <v>25</v>
      </c>
      <c r="C11" s="2" t="s">
        <v>17</v>
      </c>
      <c r="D11" s="2" t="s">
        <v>21</v>
      </c>
      <c r="E11" s="3"/>
      <c r="F11" s="3"/>
      <c r="G11" s="3"/>
      <c r="H11" s="3"/>
      <c r="I11" s="3" t="n">
        <f aca="false">298.15*H11/96485</f>
        <v>0</v>
      </c>
      <c r="J11" s="3" t="n">
        <f aca="false">F11+G11-I11</f>
        <v>0</v>
      </c>
      <c r="K11" s="3" t="n">
        <f aca="false">E11+J11</f>
        <v>0</v>
      </c>
      <c r="L11" s="3"/>
      <c r="M11" s="3" t="n">
        <f aca="false">623.15*L11/96485</f>
        <v>0</v>
      </c>
      <c r="N11" s="3" t="n">
        <f aca="false">F11+G11-M11</f>
        <v>0</v>
      </c>
      <c r="O11" s="3" t="n">
        <f aca="false">E11+N11</f>
        <v>0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17</v>
      </c>
      <c r="D12" s="2" t="s">
        <v>22</v>
      </c>
      <c r="E12" s="3"/>
      <c r="F12" s="3"/>
      <c r="G12" s="3"/>
      <c r="H12" s="3"/>
      <c r="I12" s="3" t="n">
        <f aca="false">298.15*H12/96485</f>
        <v>0</v>
      </c>
      <c r="J12" s="3" t="n">
        <f aca="false">F12+G12-I12</f>
        <v>0</v>
      </c>
      <c r="K12" s="3" t="n">
        <f aca="false">E12+J12</f>
        <v>0</v>
      </c>
      <c r="L12" s="3"/>
      <c r="M12" s="3" t="n">
        <f aca="false">623.15*L12/96485</f>
        <v>0</v>
      </c>
      <c r="N12" s="3" t="n">
        <f aca="false">F12+G12-M12</f>
        <v>0</v>
      </c>
      <c r="O12" s="3" t="n">
        <f aca="false">E12+N12</f>
        <v>0</v>
      </c>
    </row>
    <row r="13" customFormat="false" ht="15" hidden="false" customHeight="false" outlineLevel="0" collapsed="false">
      <c r="A13" s="2" t="s">
        <v>24</v>
      </c>
      <c r="B13" s="2" t="s">
        <v>25</v>
      </c>
      <c r="C13" s="2" t="s">
        <v>17</v>
      </c>
      <c r="D13" s="2" t="s">
        <v>23</v>
      </c>
      <c r="E13" s="3"/>
      <c r="F13" s="3"/>
      <c r="G13" s="3"/>
      <c r="H13" s="3"/>
      <c r="I13" s="3" t="n">
        <f aca="false">298.15*H13/96485</f>
        <v>0</v>
      </c>
      <c r="J13" s="3" t="n">
        <f aca="false">F13+G13-I13</f>
        <v>0</v>
      </c>
      <c r="K13" s="3" t="n">
        <f aca="false">E13+J13</f>
        <v>0</v>
      </c>
      <c r="L13" s="3"/>
      <c r="M13" s="3" t="n">
        <f aca="false">623.15*L13/96485</f>
        <v>0</v>
      </c>
      <c r="N13" s="3" t="n">
        <f aca="false">F13+G13-M13</f>
        <v>0</v>
      </c>
      <c r="O13" s="3" t="n">
        <f aca="false">E13+N13</f>
        <v>0</v>
      </c>
    </row>
    <row r="14" customFormat="false" ht="15" hidden="false" customHeight="false" outlineLevel="0" collapsed="false">
      <c r="A14" s="2" t="s">
        <v>26</v>
      </c>
      <c r="B14" s="2" t="s">
        <v>27</v>
      </c>
      <c r="C14" s="2" t="s">
        <v>17</v>
      </c>
      <c r="D14" s="2" t="s">
        <v>18</v>
      </c>
      <c r="E14" s="3"/>
      <c r="F14" s="3"/>
      <c r="G14" s="3"/>
      <c r="H14" s="3"/>
      <c r="I14" s="3" t="n">
        <f aca="false">298.15*H14/96485</f>
        <v>0</v>
      </c>
      <c r="J14" s="3" t="n">
        <f aca="false">F14+G14-I14</f>
        <v>0</v>
      </c>
      <c r="K14" s="3" t="n">
        <f aca="false">E14+J14</f>
        <v>0</v>
      </c>
      <c r="L14" s="3"/>
      <c r="M14" s="3" t="n">
        <f aca="false">623.15*L14/96485</f>
        <v>0</v>
      </c>
      <c r="N14" s="3" t="n">
        <f aca="false">F14+G14-M14</f>
        <v>0</v>
      </c>
      <c r="O14" s="3" t="n">
        <f aca="false">E14+N14</f>
        <v>0</v>
      </c>
    </row>
    <row r="15" customFormat="false" ht="15" hidden="false" customHeight="false" outlineLevel="0" collapsed="false">
      <c r="A15" s="2" t="s">
        <v>26</v>
      </c>
      <c r="B15" s="2" t="s">
        <v>27</v>
      </c>
      <c r="C15" s="2" t="s">
        <v>17</v>
      </c>
      <c r="D15" s="2" t="s">
        <v>19</v>
      </c>
      <c r="E15" s="3"/>
      <c r="F15" s="3"/>
      <c r="G15" s="3"/>
      <c r="H15" s="3"/>
      <c r="I15" s="3" t="n">
        <f aca="false">298.15*H15/96485</f>
        <v>0</v>
      </c>
      <c r="J15" s="3" t="n">
        <f aca="false">F15+G15-I15</f>
        <v>0</v>
      </c>
      <c r="K15" s="3" t="n">
        <f aca="false">E15+J15</f>
        <v>0</v>
      </c>
      <c r="L15" s="3"/>
      <c r="M15" s="3" t="n">
        <f aca="false">623.15*L15/96485</f>
        <v>0</v>
      </c>
      <c r="N15" s="3" t="n">
        <f aca="false">F15+G15-M15</f>
        <v>0</v>
      </c>
      <c r="O15" s="3" t="n">
        <f aca="false">E15+N15</f>
        <v>0</v>
      </c>
    </row>
    <row r="16" customFormat="false" ht="15" hidden="false" customHeight="false" outlineLevel="0" collapsed="false">
      <c r="A16" s="2" t="s">
        <v>26</v>
      </c>
      <c r="B16" s="2" t="s">
        <v>27</v>
      </c>
      <c r="C16" s="2" t="s">
        <v>17</v>
      </c>
      <c r="D16" s="2" t="s">
        <v>20</v>
      </c>
      <c r="E16" s="3"/>
      <c r="F16" s="3"/>
      <c r="G16" s="3"/>
      <c r="H16" s="3"/>
      <c r="I16" s="3" t="n">
        <f aca="false">298.15*H16/96485</f>
        <v>0</v>
      </c>
      <c r="J16" s="3" t="n">
        <f aca="false">F16+G16-I16</f>
        <v>0</v>
      </c>
      <c r="K16" s="3" t="n">
        <f aca="false">E16+J16</f>
        <v>0</v>
      </c>
      <c r="L16" s="3"/>
      <c r="M16" s="3" t="n">
        <f aca="false">623.15*L16/96485</f>
        <v>0</v>
      </c>
      <c r="N16" s="3" t="n">
        <f aca="false">F16+G16-M16</f>
        <v>0</v>
      </c>
      <c r="O16" s="3" t="n">
        <f aca="false">E16+N16</f>
        <v>0</v>
      </c>
    </row>
    <row r="17" customFormat="false" ht="15" hidden="false" customHeight="false" outlineLevel="0" collapsed="false">
      <c r="A17" s="2" t="s">
        <v>26</v>
      </c>
      <c r="B17" s="2" t="s">
        <v>27</v>
      </c>
      <c r="C17" s="2" t="s">
        <v>17</v>
      </c>
      <c r="D17" s="2" t="s">
        <v>21</v>
      </c>
      <c r="E17" s="3"/>
      <c r="F17" s="3"/>
      <c r="G17" s="3"/>
      <c r="H17" s="3"/>
      <c r="I17" s="3" t="n">
        <f aca="false">298.15*H17/96485</f>
        <v>0</v>
      </c>
      <c r="J17" s="3" t="n">
        <f aca="false">F17+G17-I17</f>
        <v>0</v>
      </c>
      <c r="K17" s="3" t="n">
        <f aca="false">E17+J17</f>
        <v>0</v>
      </c>
      <c r="L17" s="3"/>
      <c r="M17" s="3" t="n">
        <f aca="false">623.15*L17/96485</f>
        <v>0</v>
      </c>
      <c r="N17" s="3" t="n">
        <f aca="false">F17+G17-M17</f>
        <v>0</v>
      </c>
      <c r="O17" s="3" t="n">
        <f aca="false">E17+N17</f>
        <v>0</v>
      </c>
    </row>
    <row r="18" customFormat="false" ht="15" hidden="false" customHeight="false" outlineLevel="0" collapsed="false">
      <c r="A18" s="2" t="s">
        <v>26</v>
      </c>
      <c r="B18" s="2" t="s">
        <v>27</v>
      </c>
      <c r="C18" s="2" t="s">
        <v>17</v>
      </c>
      <c r="D18" s="2" t="s">
        <v>22</v>
      </c>
      <c r="E18" s="3"/>
      <c r="F18" s="3"/>
      <c r="G18" s="3"/>
      <c r="H18" s="3"/>
      <c r="I18" s="3" t="n">
        <f aca="false">298.15*H18/96485</f>
        <v>0</v>
      </c>
      <c r="J18" s="3" t="n">
        <f aca="false">F18+G18-I18</f>
        <v>0</v>
      </c>
      <c r="K18" s="3" t="n">
        <f aca="false">E18+J18</f>
        <v>0</v>
      </c>
      <c r="L18" s="3"/>
      <c r="M18" s="3" t="n">
        <f aca="false">623.15*L18/96485</f>
        <v>0</v>
      </c>
      <c r="N18" s="3" t="n">
        <f aca="false">F18+G18-M18</f>
        <v>0</v>
      </c>
      <c r="O18" s="3" t="n">
        <f aca="false">E18+N18</f>
        <v>0</v>
      </c>
    </row>
    <row r="19" customFormat="false" ht="15" hidden="false" customHeight="false" outlineLevel="0" collapsed="false">
      <c r="A19" s="2" t="s">
        <v>26</v>
      </c>
      <c r="B19" s="2" t="s">
        <v>27</v>
      </c>
      <c r="C19" s="2" t="s">
        <v>17</v>
      </c>
      <c r="D19" s="2" t="s">
        <v>23</v>
      </c>
      <c r="E19" s="3"/>
      <c r="F19" s="3"/>
      <c r="G19" s="3"/>
      <c r="H19" s="3"/>
      <c r="I19" s="3" t="n">
        <f aca="false">298.15*H19/96485</f>
        <v>0</v>
      </c>
      <c r="J19" s="3" t="n">
        <f aca="false">F19+G19-I19</f>
        <v>0</v>
      </c>
      <c r="K19" s="3" t="n">
        <f aca="false">E19+J19</f>
        <v>0</v>
      </c>
      <c r="L19" s="3"/>
      <c r="M19" s="3" t="n">
        <f aca="false">623.15*L19/96485</f>
        <v>0</v>
      </c>
      <c r="N19" s="3" t="n">
        <f aca="false">F19+G19-M19</f>
        <v>0</v>
      </c>
      <c r="O19" s="3" t="n">
        <f aca="false">E19+N19</f>
        <v>0</v>
      </c>
    </row>
    <row r="20" customFormat="false" ht="15" hidden="false" customHeight="false" outlineLevel="0" collapsed="false">
      <c r="A20" s="2" t="s">
        <v>28</v>
      </c>
      <c r="B20" s="2" t="s">
        <v>29</v>
      </c>
      <c r="C20" s="2" t="s">
        <v>30</v>
      </c>
      <c r="D20" s="2" t="s">
        <v>18</v>
      </c>
      <c r="E20" s="3"/>
      <c r="F20" s="3"/>
      <c r="G20" s="3"/>
      <c r="H20" s="3"/>
      <c r="I20" s="3" t="n">
        <f aca="false">298.15*H20/96485</f>
        <v>0</v>
      </c>
      <c r="J20" s="3" t="n">
        <f aca="false">F20+G20-I20</f>
        <v>0</v>
      </c>
      <c r="K20" s="3" t="n">
        <f aca="false">E20+J20</f>
        <v>0</v>
      </c>
      <c r="L20" s="3"/>
      <c r="M20" s="3" t="n">
        <f aca="false">623.15*L20/96485</f>
        <v>0</v>
      </c>
      <c r="N20" s="3" t="n">
        <f aca="false">F20+G20-M20</f>
        <v>0</v>
      </c>
      <c r="O20" s="3" t="n">
        <f aca="false">E20+N20</f>
        <v>0</v>
      </c>
    </row>
    <row r="21" customFormat="false" ht="15" hidden="false" customHeight="false" outlineLevel="0" collapsed="false">
      <c r="A21" s="2" t="s">
        <v>28</v>
      </c>
      <c r="B21" s="2" t="s">
        <v>29</v>
      </c>
      <c r="C21" s="2" t="s">
        <v>30</v>
      </c>
      <c r="D21" s="2" t="s">
        <v>19</v>
      </c>
      <c r="E21" s="3"/>
      <c r="F21" s="3"/>
      <c r="G21" s="3"/>
      <c r="H21" s="3"/>
      <c r="I21" s="3" t="n">
        <f aca="false">298.15*H21/96485</f>
        <v>0</v>
      </c>
      <c r="J21" s="3" t="n">
        <f aca="false">F21+G21-I21</f>
        <v>0</v>
      </c>
      <c r="K21" s="3" t="n">
        <f aca="false">E21+J21</f>
        <v>0</v>
      </c>
      <c r="L21" s="3"/>
      <c r="M21" s="3" t="n">
        <f aca="false">623.15*L21/96485</f>
        <v>0</v>
      </c>
      <c r="N21" s="3" t="n">
        <f aca="false">F21+G21-M21</f>
        <v>0</v>
      </c>
      <c r="O21" s="3" t="n">
        <f aca="false">E21+N21</f>
        <v>0</v>
      </c>
    </row>
    <row r="22" customFormat="false" ht="15" hidden="false" customHeight="false" outlineLevel="0" collapsed="false">
      <c r="A22" s="2" t="s">
        <v>28</v>
      </c>
      <c r="B22" s="2" t="s">
        <v>29</v>
      </c>
      <c r="C22" s="2" t="s">
        <v>30</v>
      </c>
      <c r="D22" s="2" t="s">
        <v>20</v>
      </c>
      <c r="E22" s="3"/>
      <c r="F22" s="3"/>
      <c r="G22" s="3"/>
      <c r="H22" s="3"/>
      <c r="I22" s="3" t="n">
        <f aca="false">298.15*H22/96485</f>
        <v>0</v>
      </c>
      <c r="J22" s="3" t="n">
        <f aca="false">F22+G22-I22</f>
        <v>0</v>
      </c>
      <c r="K22" s="3" t="n">
        <f aca="false">E22+J22</f>
        <v>0</v>
      </c>
      <c r="L22" s="3"/>
      <c r="M22" s="3" t="n">
        <f aca="false">623.15*L22/96485</f>
        <v>0</v>
      </c>
      <c r="N22" s="3" t="n">
        <f aca="false">F22+G22-M22</f>
        <v>0</v>
      </c>
      <c r="O22" s="3" t="n">
        <f aca="false">E22+N22</f>
        <v>0</v>
      </c>
    </row>
    <row r="23" customFormat="false" ht="15" hidden="false" customHeight="false" outlineLevel="0" collapsed="false">
      <c r="A23" s="2" t="s">
        <v>28</v>
      </c>
      <c r="B23" s="2" t="s">
        <v>29</v>
      </c>
      <c r="C23" s="2" t="s">
        <v>30</v>
      </c>
      <c r="D23" s="2" t="s">
        <v>21</v>
      </c>
      <c r="E23" s="3"/>
      <c r="F23" s="3"/>
      <c r="G23" s="3"/>
      <c r="H23" s="3"/>
      <c r="I23" s="3" t="n">
        <f aca="false">298.15*H23/96485</f>
        <v>0</v>
      </c>
      <c r="J23" s="3" t="n">
        <f aca="false">F23+G23-I23</f>
        <v>0</v>
      </c>
      <c r="K23" s="3" t="n">
        <f aca="false">E23+J23</f>
        <v>0</v>
      </c>
      <c r="L23" s="3"/>
      <c r="M23" s="3" t="n">
        <f aca="false">623.15*L23/96485</f>
        <v>0</v>
      </c>
      <c r="N23" s="3" t="n">
        <f aca="false">F23+G23-M23</f>
        <v>0</v>
      </c>
      <c r="O23" s="3" t="n">
        <f aca="false">E23+N23</f>
        <v>0</v>
      </c>
    </row>
    <row r="24" customFormat="false" ht="15" hidden="false" customHeight="false" outlineLevel="0" collapsed="false">
      <c r="A24" s="2" t="s">
        <v>28</v>
      </c>
      <c r="B24" s="2" t="s">
        <v>29</v>
      </c>
      <c r="C24" s="2" t="s">
        <v>30</v>
      </c>
      <c r="D24" s="2" t="s">
        <v>22</v>
      </c>
      <c r="E24" s="3"/>
      <c r="F24" s="3"/>
      <c r="G24" s="3"/>
      <c r="H24" s="3"/>
      <c r="I24" s="3" t="n">
        <f aca="false">298.15*H24/96485</f>
        <v>0</v>
      </c>
      <c r="J24" s="3" t="n">
        <f aca="false">F24+G24-I24</f>
        <v>0</v>
      </c>
      <c r="K24" s="3" t="n">
        <f aca="false">E24+J24</f>
        <v>0</v>
      </c>
      <c r="L24" s="3"/>
      <c r="M24" s="3" t="n">
        <f aca="false">623.15*L24/96485</f>
        <v>0</v>
      </c>
      <c r="N24" s="3" t="n">
        <f aca="false">F24+G24-M24</f>
        <v>0</v>
      </c>
      <c r="O24" s="3" t="n">
        <f aca="false">E24+N24</f>
        <v>0</v>
      </c>
    </row>
    <row r="25" customFormat="false" ht="15" hidden="false" customHeight="false" outlineLevel="0" collapsed="false">
      <c r="A25" s="2" t="s">
        <v>28</v>
      </c>
      <c r="B25" s="2" t="s">
        <v>29</v>
      </c>
      <c r="C25" s="2" t="s">
        <v>30</v>
      </c>
      <c r="D25" s="2" t="s">
        <v>23</v>
      </c>
      <c r="E25" s="3"/>
      <c r="F25" s="3"/>
      <c r="G25" s="3"/>
      <c r="H25" s="3"/>
      <c r="I25" s="3" t="n">
        <f aca="false">298.15*H25/96485</f>
        <v>0</v>
      </c>
      <c r="J25" s="3" t="n">
        <f aca="false">F25+G25-I25</f>
        <v>0</v>
      </c>
      <c r="K25" s="3" t="n">
        <f aca="false">E25+J25</f>
        <v>0</v>
      </c>
      <c r="L25" s="3"/>
      <c r="M25" s="3" t="n">
        <f aca="false">623.15*L25/96485</f>
        <v>0</v>
      </c>
      <c r="N25" s="3" t="n">
        <f aca="false">F25+G25-M25</f>
        <v>0</v>
      </c>
      <c r="O25" s="3" t="n">
        <f aca="false">E25+N25</f>
        <v>0</v>
      </c>
    </row>
    <row r="26" customFormat="false" ht="15" hidden="false" customHeight="false" outlineLevel="0" collapsed="false">
      <c r="A26" s="2" t="s">
        <v>31</v>
      </c>
      <c r="B26" s="2" t="s">
        <v>32</v>
      </c>
      <c r="C26" s="2" t="s">
        <v>30</v>
      </c>
      <c r="D26" s="2" t="s">
        <v>18</v>
      </c>
      <c r="E26" s="3"/>
      <c r="F26" s="3"/>
      <c r="G26" s="3"/>
      <c r="H26" s="3"/>
      <c r="I26" s="3" t="n">
        <f aca="false">298.15*H26/96485</f>
        <v>0</v>
      </c>
      <c r="J26" s="3" t="n">
        <f aca="false">F26+G26-I26</f>
        <v>0</v>
      </c>
      <c r="K26" s="3" t="n">
        <f aca="false">E26+J26</f>
        <v>0</v>
      </c>
      <c r="L26" s="3"/>
      <c r="M26" s="3" t="n">
        <f aca="false">623.15*L26/96485</f>
        <v>0</v>
      </c>
      <c r="N26" s="3" t="n">
        <f aca="false">F26+G26-M26</f>
        <v>0</v>
      </c>
      <c r="O26" s="3" t="n">
        <f aca="false">E26+N26</f>
        <v>0</v>
      </c>
    </row>
    <row r="27" customFormat="false" ht="15" hidden="false" customHeight="false" outlineLevel="0" collapsed="false">
      <c r="A27" s="2" t="s">
        <v>31</v>
      </c>
      <c r="B27" s="2" t="s">
        <v>32</v>
      </c>
      <c r="C27" s="2" t="s">
        <v>30</v>
      </c>
      <c r="D27" s="2" t="s">
        <v>19</v>
      </c>
      <c r="E27" s="3"/>
      <c r="F27" s="3"/>
      <c r="G27" s="3"/>
      <c r="H27" s="3"/>
      <c r="I27" s="3" t="n">
        <f aca="false">298.15*H27/96485</f>
        <v>0</v>
      </c>
      <c r="J27" s="3" t="n">
        <f aca="false">F27+G27-I27</f>
        <v>0</v>
      </c>
      <c r="K27" s="3" t="n">
        <f aca="false">E27+J27</f>
        <v>0</v>
      </c>
      <c r="L27" s="3"/>
      <c r="M27" s="3" t="n">
        <f aca="false">623.15*L27/96485</f>
        <v>0</v>
      </c>
      <c r="N27" s="3" t="n">
        <f aca="false">F27+G27-M27</f>
        <v>0</v>
      </c>
      <c r="O27" s="3" t="n">
        <f aca="false">E27+N27</f>
        <v>0</v>
      </c>
    </row>
    <row r="28" customFormat="false" ht="15" hidden="false" customHeight="false" outlineLevel="0" collapsed="false">
      <c r="A28" s="2" t="s">
        <v>31</v>
      </c>
      <c r="B28" s="2" t="s">
        <v>32</v>
      </c>
      <c r="C28" s="2" t="s">
        <v>30</v>
      </c>
      <c r="D28" s="2" t="s">
        <v>20</v>
      </c>
      <c r="E28" s="3"/>
      <c r="F28" s="3"/>
      <c r="G28" s="3"/>
      <c r="H28" s="3"/>
      <c r="I28" s="3" t="n">
        <f aca="false">298.15*H28/96485</f>
        <v>0</v>
      </c>
      <c r="J28" s="3" t="n">
        <f aca="false">F28+G28-I28</f>
        <v>0</v>
      </c>
      <c r="K28" s="3" t="n">
        <f aca="false">E28+J28</f>
        <v>0</v>
      </c>
      <c r="L28" s="3"/>
      <c r="M28" s="3" t="n">
        <f aca="false">623.15*L28/96485</f>
        <v>0</v>
      </c>
      <c r="N28" s="3" t="n">
        <f aca="false">F28+G28-M28</f>
        <v>0</v>
      </c>
      <c r="O28" s="3" t="n">
        <f aca="false">E28+N28</f>
        <v>0</v>
      </c>
    </row>
    <row r="29" customFormat="false" ht="15" hidden="false" customHeight="false" outlineLevel="0" collapsed="false">
      <c r="A29" s="2" t="s">
        <v>31</v>
      </c>
      <c r="B29" s="2" t="s">
        <v>32</v>
      </c>
      <c r="C29" s="2" t="s">
        <v>30</v>
      </c>
      <c r="D29" s="2" t="s">
        <v>21</v>
      </c>
      <c r="E29" s="3"/>
      <c r="F29" s="3"/>
      <c r="G29" s="3"/>
      <c r="H29" s="3"/>
      <c r="I29" s="3" t="n">
        <f aca="false">298.15*H29/96485</f>
        <v>0</v>
      </c>
      <c r="J29" s="3" t="n">
        <f aca="false">F29+G29-I29</f>
        <v>0</v>
      </c>
      <c r="K29" s="3" t="n">
        <f aca="false">E29+J29</f>
        <v>0</v>
      </c>
      <c r="L29" s="3"/>
      <c r="M29" s="3" t="n">
        <f aca="false">623.15*L29/96485</f>
        <v>0</v>
      </c>
      <c r="N29" s="3" t="n">
        <f aca="false">F29+G29-M29</f>
        <v>0</v>
      </c>
      <c r="O29" s="3" t="n">
        <f aca="false">E29+N29</f>
        <v>0</v>
      </c>
    </row>
    <row r="30" customFormat="false" ht="15" hidden="false" customHeight="false" outlineLevel="0" collapsed="false">
      <c r="A30" s="2" t="s">
        <v>31</v>
      </c>
      <c r="B30" s="2" t="s">
        <v>32</v>
      </c>
      <c r="C30" s="2" t="s">
        <v>30</v>
      </c>
      <c r="D30" s="2" t="s">
        <v>22</v>
      </c>
      <c r="E30" s="3"/>
      <c r="F30" s="3"/>
      <c r="G30" s="3"/>
      <c r="H30" s="3"/>
      <c r="I30" s="3" t="n">
        <f aca="false">298.15*H30/96485</f>
        <v>0</v>
      </c>
      <c r="J30" s="3" t="n">
        <f aca="false">F30+G30-I30</f>
        <v>0</v>
      </c>
      <c r="K30" s="3" t="n">
        <f aca="false">E30+J30</f>
        <v>0</v>
      </c>
      <c r="L30" s="3"/>
      <c r="M30" s="3" t="n">
        <f aca="false">623.15*L30/96485</f>
        <v>0</v>
      </c>
      <c r="N30" s="3" t="n">
        <f aca="false">F30+G30-M30</f>
        <v>0</v>
      </c>
      <c r="O30" s="3" t="n">
        <f aca="false">E30+N30</f>
        <v>0</v>
      </c>
    </row>
    <row r="31" customFormat="false" ht="15" hidden="false" customHeight="false" outlineLevel="0" collapsed="false">
      <c r="A31" s="2" t="s">
        <v>31</v>
      </c>
      <c r="B31" s="2" t="s">
        <v>32</v>
      </c>
      <c r="C31" s="2" t="s">
        <v>30</v>
      </c>
      <c r="D31" s="2" t="s">
        <v>23</v>
      </c>
      <c r="E31" s="3"/>
      <c r="F31" s="3"/>
      <c r="G31" s="3"/>
      <c r="H31" s="3"/>
      <c r="I31" s="3" t="n">
        <f aca="false">298.15*H31/96485</f>
        <v>0</v>
      </c>
      <c r="J31" s="3" t="n">
        <f aca="false">F31+G31-I31</f>
        <v>0</v>
      </c>
      <c r="K31" s="3" t="n">
        <f aca="false">E31+J31</f>
        <v>0</v>
      </c>
      <c r="L31" s="3"/>
      <c r="M31" s="3" t="n">
        <f aca="false">623.15*L31/96485</f>
        <v>0</v>
      </c>
      <c r="N31" s="3" t="n">
        <f aca="false">F31+G31-M31</f>
        <v>0</v>
      </c>
      <c r="O31" s="3" t="n">
        <f aca="false">E31+N31</f>
        <v>0</v>
      </c>
    </row>
    <row r="32" customFormat="false" ht="15" hidden="false" customHeight="false" outlineLevel="0" collapsed="false">
      <c r="A32" s="2" t="s">
        <v>33</v>
      </c>
      <c r="B32" s="2" t="s">
        <v>29</v>
      </c>
      <c r="C32" s="2" t="s">
        <v>30</v>
      </c>
      <c r="D32" s="2" t="s">
        <v>18</v>
      </c>
      <c r="E32" s="3"/>
      <c r="F32" s="3"/>
      <c r="G32" s="3"/>
      <c r="H32" s="3"/>
      <c r="I32" s="3" t="n">
        <f aca="false">298.15*H32/96485</f>
        <v>0</v>
      </c>
      <c r="J32" s="3" t="n">
        <f aca="false">F32+G32-I32</f>
        <v>0</v>
      </c>
      <c r="K32" s="3" t="n">
        <f aca="false">E32+J32</f>
        <v>0</v>
      </c>
      <c r="L32" s="3"/>
      <c r="M32" s="3" t="n">
        <f aca="false">623.15*L32/96485</f>
        <v>0</v>
      </c>
      <c r="N32" s="3" t="n">
        <f aca="false">F32+G32-M32</f>
        <v>0</v>
      </c>
      <c r="O32" s="3" t="n">
        <f aca="false">E32+N32</f>
        <v>0</v>
      </c>
    </row>
    <row r="33" customFormat="false" ht="15" hidden="false" customHeight="false" outlineLevel="0" collapsed="false">
      <c r="A33" s="2" t="s">
        <v>33</v>
      </c>
      <c r="B33" s="2" t="s">
        <v>29</v>
      </c>
      <c r="C33" s="2" t="s">
        <v>30</v>
      </c>
      <c r="D33" s="2" t="s">
        <v>19</v>
      </c>
      <c r="E33" s="3"/>
      <c r="F33" s="3"/>
      <c r="G33" s="3"/>
      <c r="H33" s="3"/>
      <c r="I33" s="3" t="n">
        <f aca="false">298.15*H33/96485</f>
        <v>0</v>
      </c>
      <c r="J33" s="3" t="n">
        <f aca="false">F33+G33-I33</f>
        <v>0</v>
      </c>
      <c r="K33" s="3" t="n">
        <f aca="false">E33+J33</f>
        <v>0</v>
      </c>
      <c r="L33" s="3"/>
      <c r="M33" s="3" t="n">
        <f aca="false">623.15*L33/96485</f>
        <v>0</v>
      </c>
      <c r="N33" s="3" t="n">
        <f aca="false">F33+G33-M33</f>
        <v>0</v>
      </c>
      <c r="O33" s="3" t="n">
        <f aca="false">E33+N33</f>
        <v>0</v>
      </c>
    </row>
    <row r="34" customFormat="false" ht="15" hidden="false" customHeight="false" outlineLevel="0" collapsed="false">
      <c r="A34" s="2" t="s">
        <v>33</v>
      </c>
      <c r="B34" s="2" t="s">
        <v>29</v>
      </c>
      <c r="C34" s="2" t="s">
        <v>30</v>
      </c>
      <c r="D34" s="2" t="s">
        <v>20</v>
      </c>
      <c r="E34" s="3"/>
      <c r="F34" s="3"/>
      <c r="G34" s="3"/>
      <c r="H34" s="3"/>
      <c r="I34" s="3" t="n">
        <f aca="false">298.15*H34/96485</f>
        <v>0</v>
      </c>
      <c r="J34" s="3" t="n">
        <f aca="false">F34+G34-I34</f>
        <v>0</v>
      </c>
      <c r="K34" s="3" t="n">
        <f aca="false">E34+J34</f>
        <v>0</v>
      </c>
      <c r="L34" s="3"/>
      <c r="M34" s="3" t="n">
        <f aca="false">623.15*L34/96485</f>
        <v>0</v>
      </c>
      <c r="N34" s="3" t="n">
        <f aca="false">F34+G34-M34</f>
        <v>0</v>
      </c>
      <c r="O34" s="3" t="n">
        <f aca="false">E34+N34</f>
        <v>0</v>
      </c>
    </row>
    <row r="35" customFormat="false" ht="15" hidden="false" customHeight="false" outlineLevel="0" collapsed="false">
      <c r="A35" s="2" t="s">
        <v>33</v>
      </c>
      <c r="B35" s="2" t="s">
        <v>29</v>
      </c>
      <c r="C35" s="2" t="s">
        <v>30</v>
      </c>
      <c r="D35" s="2" t="s">
        <v>21</v>
      </c>
      <c r="E35" s="3"/>
      <c r="F35" s="3"/>
      <c r="G35" s="3"/>
      <c r="H35" s="3"/>
      <c r="I35" s="3" t="n">
        <f aca="false">298.15*H35/96485</f>
        <v>0</v>
      </c>
      <c r="J35" s="3" t="n">
        <f aca="false">F35+G35-I35</f>
        <v>0</v>
      </c>
      <c r="K35" s="3" t="n">
        <f aca="false">E35+J35</f>
        <v>0</v>
      </c>
      <c r="L35" s="3"/>
      <c r="M35" s="3" t="n">
        <f aca="false">623.15*L35/96485</f>
        <v>0</v>
      </c>
      <c r="N35" s="3" t="n">
        <f aca="false">F35+G35-M35</f>
        <v>0</v>
      </c>
      <c r="O35" s="3" t="n">
        <f aca="false">E35+N35</f>
        <v>0</v>
      </c>
    </row>
    <row r="36" customFormat="false" ht="15" hidden="false" customHeight="false" outlineLevel="0" collapsed="false">
      <c r="A36" s="2" t="s">
        <v>33</v>
      </c>
      <c r="B36" s="2" t="s">
        <v>29</v>
      </c>
      <c r="C36" s="2" t="s">
        <v>30</v>
      </c>
      <c r="D36" s="2" t="s">
        <v>22</v>
      </c>
      <c r="E36" s="3"/>
      <c r="F36" s="3"/>
      <c r="G36" s="3"/>
      <c r="H36" s="3"/>
      <c r="I36" s="3" t="n">
        <f aca="false">298.15*H36/96485</f>
        <v>0</v>
      </c>
      <c r="J36" s="3" t="n">
        <f aca="false">F36+G36-I36</f>
        <v>0</v>
      </c>
      <c r="K36" s="3" t="n">
        <f aca="false">E36+J36</f>
        <v>0</v>
      </c>
      <c r="L36" s="3"/>
      <c r="M36" s="3" t="n">
        <f aca="false">623.15*L36/96485</f>
        <v>0</v>
      </c>
      <c r="N36" s="3" t="n">
        <f aca="false">F36+G36-M36</f>
        <v>0</v>
      </c>
      <c r="O36" s="3" t="n">
        <f aca="false">E36+N36</f>
        <v>0</v>
      </c>
    </row>
    <row r="37" customFormat="false" ht="15" hidden="false" customHeight="false" outlineLevel="0" collapsed="false">
      <c r="A37" s="2" t="s">
        <v>33</v>
      </c>
      <c r="B37" s="2" t="s">
        <v>29</v>
      </c>
      <c r="C37" s="2" t="s">
        <v>30</v>
      </c>
      <c r="D37" s="2" t="s">
        <v>23</v>
      </c>
      <c r="E37" s="3"/>
      <c r="F37" s="3"/>
      <c r="G37" s="3"/>
      <c r="H37" s="3"/>
      <c r="I37" s="3" t="n">
        <f aca="false">298.15*H37/96485</f>
        <v>0</v>
      </c>
      <c r="J37" s="3" t="n">
        <f aca="false">F37+G37-I37</f>
        <v>0</v>
      </c>
      <c r="K37" s="3" t="n">
        <f aca="false">E37+J37</f>
        <v>0</v>
      </c>
      <c r="L37" s="3"/>
      <c r="M37" s="3" t="n">
        <f aca="false">623.15*L37/96485</f>
        <v>0</v>
      </c>
      <c r="N37" s="3" t="n">
        <f aca="false">F37+G37-M37</f>
        <v>0</v>
      </c>
      <c r="O37" s="3" t="n">
        <f aca="false">E37+N37</f>
        <v>0</v>
      </c>
    </row>
    <row r="38" customFormat="false" ht="15" hidden="false" customHeight="false" outlineLevel="0" collapsed="false">
      <c r="A38" s="2" t="s">
        <v>34</v>
      </c>
      <c r="B38" s="2" t="s">
        <v>35</v>
      </c>
      <c r="C38" s="2" t="s">
        <v>30</v>
      </c>
      <c r="D38" s="2" t="s">
        <v>18</v>
      </c>
      <c r="E38" s="3"/>
      <c r="F38" s="3"/>
      <c r="G38" s="3"/>
      <c r="H38" s="3"/>
      <c r="I38" s="3" t="n">
        <f aca="false">298.15*H38/96485</f>
        <v>0</v>
      </c>
      <c r="J38" s="3" t="n">
        <f aca="false">F38+G38-I38</f>
        <v>0</v>
      </c>
      <c r="K38" s="3" t="n">
        <f aca="false">E38+J38</f>
        <v>0</v>
      </c>
      <c r="L38" s="3"/>
      <c r="M38" s="3" t="n">
        <f aca="false">623.15*L38/96485</f>
        <v>0</v>
      </c>
      <c r="N38" s="3" t="n">
        <f aca="false">F38+G38-M38</f>
        <v>0</v>
      </c>
      <c r="O38" s="3" t="n">
        <f aca="false">E38+N38</f>
        <v>0</v>
      </c>
    </row>
    <row r="39" customFormat="false" ht="15" hidden="false" customHeight="false" outlineLevel="0" collapsed="false">
      <c r="A39" s="2" t="s">
        <v>34</v>
      </c>
      <c r="B39" s="2" t="s">
        <v>35</v>
      </c>
      <c r="C39" s="2" t="s">
        <v>30</v>
      </c>
      <c r="D39" s="2" t="s">
        <v>19</v>
      </c>
      <c r="E39" s="3"/>
      <c r="F39" s="3"/>
      <c r="G39" s="3"/>
      <c r="H39" s="3"/>
      <c r="I39" s="3" t="n">
        <f aca="false">298.15*H39/96485</f>
        <v>0</v>
      </c>
      <c r="J39" s="3" t="n">
        <f aca="false">F39+G39-I39</f>
        <v>0</v>
      </c>
      <c r="K39" s="3" t="n">
        <f aca="false">E39+J39</f>
        <v>0</v>
      </c>
      <c r="L39" s="3"/>
      <c r="M39" s="3" t="n">
        <f aca="false">623.15*L39/96485</f>
        <v>0</v>
      </c>
      <c r="N39" s="3" t="n">
        <f aca="false">F39+G39-M39</f>
        <v>0</v>
      </c>
      <c r="O39" s="3" t="n">
        <f aca="false">E39+N39</f>
        <v>0</v>
      </c>
    </row>
    <row r="40" customFormat="false" ht="15" hidden="false" customHeight="false" outlineLevel="0" collapsed="false">
      <c r="A40" s="2" t="s">
        <v>34</v>
      </c>
      <c r="B40" s="2" t="s">
        <v>35</v>
      </c>
      <c r="C40" s="2" t="s">
        <v>30</v>
      </c>
      <c r="D40" s="2" t="s">
        <v>20</v>
      </c>
      <c r="E40" s="3"/>
      <c r="F40" s="3"/>
      <c r="G40" s="3"/>
      <c r="H40" s="3"/>
      <c r="I40" s="3" t="n">
        <f aca="false">298.15*H40/96485</f>
        <v>0</v>
      </c>
      <c r="J40" s="3" t="n">
        <f aca="false">F40+G40-I40</f>
        <v>0</v>
      </c>
      <c r="K40" s="3" t="n">
        <f aca="false">E40+J40</f>
        <v>0</v>
      </c>
      <c r="L40" s="3"/>
      <c r="M40" s="3" t="n">
        <f aca="false">623.15*L40/96485</f>
        <v>0</v>
      </c>
      <c r="N40" s="3" t="n">
        <f aca="false">F40+G40-M40</f>
        <v>0</v>
      </c>
      <c r="O40" s="3" t="n">
        <f aca="false">E40+N40</f>
        <v>0</v>
      </c>
    </row>
    <row r="41" customFormat="false" ht="15" hidden="false" customHeight="false" outlineLevel="0" collapsed="false">
      <c r="A41" s="2" t="s">
        <v>34</v>
      </c>
      <c r="B41" s="2" t="s">
        <v>35</v>
      </c>
      <c r="C41" s="2" t="s">
        <v>30</v>
      </c>
      <c r="D41" s="2" t="s">
        <v>21</v>
      </c>
      <c r="E41" s="3"/>
      <c r="F41" s="3"/>
      <c r="G41" s="3"/>
      <c r="H41" s="3"/>
      <c r="I41" s="3" t="n">
        <f aca="false">298.15*H41/96485</f>
        <v>0</v>
      </c>
      <c r="J41" s="3" t="n">
        <f aca="false">F41+G41-I41</f>
        <v>0</v>
      </c>
      <c r="K41" s="3" t="n">
        <f aca="false">E41+J41</f>
        <v>0</v>
      </c>
      <c r="L41" s="3"/>
      <c r="M41" s="3" t="n">
        <f aca="false">623.15*L41/96485</f>
        <v>0</v>
      </c>
      <c r="N41" s="3" t="n">
        <f aca="false">F41+G41-M41</f>
        <v>0</v>
      </c>
      <c r="O41" s="3" t="n">
        <f aca="false">E41+N41</f>
        <v>0</v>
      </c>
    </row>
    <row r="42" customFormat="false" ht="15" hidden="false" customHeight="false" outlineLevel="0" collapsed="false">
      <c r="A42" s="2" t="s">
        <v>34</v>
      </c>
      <c r="B42" s="2" t="s">
        <v>35</v>
      </c>
      <c r="C42" s="2" t="s">
        <v>30</v>
      </c>
      <c r="D42" s="2" t="s">
        <v>22</v>
      </c>
      <c r="E42" s="3"/>
      <c r="F42" s="3"/>
      <c r="G42" s="3"/>
      <c r="H42" s="3"/>
      <c r="I42" s="3" t="n">
        <f aca="false">298.15*H42/96485</f>
        <v>0</v>
      </c>
      <c r="J42" s="3" t="n">
        <f aca="false">F42+G42-I42</f>
        <v>0</v>
      </c>
      <c r="K42" s="3" t="n">
        <f aca="false">E42+J42</f>
        <v>0</v>
      </c>
      <c r="L42" s="3"/>
      <c r="M42" s="3" t="n">
        <f aca="false">623.15*L42/96485</f>
        <v>0</v>
      </c>
      <c r="N42" s="3" t="n">
        <f aca="false">F42+G42-M42</f>
        <v>0</v>
      </c>
      <c r="O42" s="3" t="n">
        <f aca="false">E42+N42</f>
        <v>0</v>
      </c>
    </row>
    <row r="43" customFormat="false" ht="15" hidden="false" customHeight="false" outlineLevel="0" collapsed="false">
      <c r="A43" s="2" t="s">
        <v>34</v>
      </c>
      <c r="B43" s="2" t="s">
        <v>35</v>
      </c>
      <c r="C43" s="2" t="s">
        <v>30</v>
      </c>
      <c r="D43" s="2" t="s">
        <v>23</v>
      </c>
      <c r="E43" s="3"/>
      <c r="F43" s="3"/>
      <c r="G43" s="3"/>
      <c r="H43" s="3"/>
      <c r="I43" s="3" t="n">
        <f aca="false">298.15*H43/96485</f>
        <v>0</v>
      </c>
      <c r="J43" s="3" t="n">
        <f aca="false">F43+G43-I43</f>
        <v>0</v>
      </c>
      <c r="K43" s="3" t="n">
        <f aca="false">E43+J43</f>
        <v>0</v>
      </c>
      <c r="L43" s="3"/>
      <c r="M43" s="3" t="n">
        <f aca="false">623.15*L43/96485</f>
        <v>0</v>
      </c>
      <c r="N43" s="3" t="n">
        <f aca="false">F43+G43-M43</f>
        <v>0</v>
      </c>
      <c r="O43" s="3" t="n">
        <f aca="false">E43+N43</f>
        <v>0</v>
      </c>
    </row>
    <row r="44" customFormat="false" ht="15" hidden="false" customHeight="false" outlineLevel="0" collapsed="false">
      <c r="A44" s="2" t="s">
        <v>36</v>
      </c>
      <c r="B44" s="2" t="s">
        <v>37</v>
      </c>
      <c r="C44" s="2" t="s">
        <v>30</v>
      </c>
      <c r="D44" s="2" t="s">
        <v>18</v>
      </c>
      <c r="E44" s="3"/>
      <c r="F44" s="3"/>
      <c r="G44" s="3"/>
      <c r="H44" s="3"/>
      <c r="I44" s="3" t="n">
        <f aca="false">298.15*H44/96485</f>
        <v>0</v>
      </c>
      <c r="J44" s="3" t="n">
        <f aca="false">F44+G44-I44</f>
        <v>0</v>
      </c>
      <c r="K44" s="3" t="n">
        <f aca="false">E44+J44</f>
        <v>0</v>
      </c>
      <c r="L44" s="3"/>
      <c r="M44" s="3" t="n">
        <f aca="false">623.15*L44/96485</f>
        <v>0</v>
      </c>
      <c r="N44" s="3" t="n">
        <f aca="false">F44+G44-M44</f>
        <v>0</v>
      </c>
      <c r="O44" s="3" t="n">
        <f aca="false">E44+N44</f>
        <v>0</v>
      </c>
    </row>
    <row r="45" customFormat="false" ht="15" hidden="false" customHeight="false" outlineLevel="0" collapsed="false">
      <c r="A45" s="2" t="s">
        <v>36</v>
      </c>
      <c r="B45" s="2" t="s">
        <v>37</v>
      </c>
      <c r="C45" s="2" t="s">
        <v>30</v>
      </c>
      <c r="D45" s="2" t="s">
        <v>19</v>
      </c>
      <c r="E45" s="3"/>
      <c r="F45" s="3"/>
      <c r="G45" s="3"/>
      <c r="H45" s="3"/>
      <c r="I45" s="3" t="n">
        <f aca="false">298.15*H45/96485</f>
        <v>0</v>
      </c>
      <c r="J45" s="3" t="n">
        <f aca="false">F45+G45-I45</f>
        <v>0</v>
      </c>
      <c r="K45" s="3" t="n">
        <f aca="false">E45+J45</f>
        <v>0</v>
      </c>
      <c r="L45" s="3"/>
      <c r="M45" s="3" t="n">
        <f aca="false">623.15*L45/96485</f>
        <v>0</v>
      </c>
      <c r="N45" s="3" t="n">
        <f aca="false">F45+G45-M45</f>
        <v>0</v>
      </c>
      <c r="O45" s="3" t="n">
        <f aca="false">E45+N45</f>
        <v>0</v>
      </c>
    </row>
    <row r="46" customFormat="false" ht="15" hidden="false" customHeight="false" outlineLevel="0" collapsed="false">
      <c r="A46" s="2" t="s">
        <v>36</v>
      </c>
      <c r="B46" s="2" t="s">
        <v>37</v>
      </c>
      <c r="C46" s="2" t="s">
        <v>30</v>
      </c>
      <c r="D46" s="2" t="s">
        <v>20</v>
      </c>
      <c r="E46" s="3"/>
      <c r="F46" s="3"/>
      <c r="G46" s="3"/>
      <c r="H46" s="3"/>
      <c r="I46" s="3" t="n">
        <f aca="false">298.15*H46/96485</f>
        <v>0</v>
      </c>
      <c r="J46" s="3" t="n">
        <f aca="false">F46+G46-I46</f>
        <v>0</v>
      </c>
      <c r="K46" s="3" t="n">
        <f aca="false">E46+J46</f>
        <v>0</v>
      </c>
      <c r="L46" s="3"/>
      <c r="M46" s="3" t="n">
        <f aca="false">623.15*L46/96485</f>
        <v>0</v>
      </c>
      <c r="N46" s="3" t="n">
        <f aca="false">F46+G46-M46</f>
        <v>0</v>
      </c>
      <c r="O46" s="3" t="n">
        <f aca="false">E46+N46</f>
        <v>0</v>
      </c>
    </row>
    <row r="47" customFormat="false" ht="15" hidden="false" customHeight="false" outlineLevel="0" collapsed="false">
      <c r="A47" s="2" t="s">
        <v>36</v>
      </c>
      <c r="B47" s="2" t="s">
        <v>37</v>
      </c>
      <c r="C47" s="2" t="s">
        <v>30</v>
      </c>
      <c r="D47" s="2" t="s">
        <v>21</v>
      </c>
      <c r="E47" s="3"/>
      <c r="F47" s="3"/>
      <c r="G47" s="3"/>
      <c r="H47" s="3"/>
      <c r="I47" s="3" t="n">
        <f aca="false">298.15*H47/96485</f>
        <v>0</v>
      </c>
      <c r="J47" s="3" t="n">
        <f aca="false">F47+G47-I47</f>
        <v>0</v>
      </c>
      <c r="K47" s="3" t="n">
        <f aca="false">E47+J47</f>
        <v>0</v>
      </c>
      <c r="L47" s="3"/>
      <c r="M47" s="3" t="n">
        <f aca="false">623.15*L47/96485</f>
        <v>0</v>
      </c>
      <c r="N47" s="3" t="n">
        <f aca="false">F47+G47-M47</f>
        <v>0</v>
      </c>
      <c r="O47" s="3" t="n">
        <f aca="false">E47+N47</f>
        <v>0</v>
      </c>
    </row>
    <row r="48" customFormat="false" ht="15" hidden="false" customHeight="false" outlineLevel="0" collapsed="false">
      <c r="A48" s="2" t="s">
        <v>36</v>
      </c>
      <c r="B48" s="2" t="s">
        <v>37</v>
      </c>
      <c r="C48" s="2" t="s">
        <v>30</v>
      </c>
      <c r="D48" s="2" t="s">
        <v>22</v>
      </c>
      <c r="E48" s="3"/>
      <c r="F48" s="3"/>
      <c r="G48" s="3"/>
      <c r="H48" s="3"/>
      <c r="I48" s="3" t="n">
        <f aca="false">298.15*H48/96485</f>
        <v>0</v>
      </c>
      <c r="J48" s="3" t="n">
        <f aca="false">F48+G48-I48</f>
        <v>0</v>
      </c>
      <c r="K48" s="3" t="n">
        <f aca="false">E48+J48</f>
        <v>0</v>
      </c>
      <c r="L48" s="3"/>
      <c r="M48" s="3" t="n">
        <f aca="false">623.15*L48/96485</f>
        <v>0</v>
      </c>
      <c r="N48" s="3" t="n">
        <f aca="false">F48+G48-M48</f>
        <v>0</v>
      </c>
      <c r="O48" s="3" t="n">
        <f aca="false">E48+N48</f>
        <v>0</v>
      </c>
    </row>
    <row r="49" customFormat="false" ht="15" hidden="false" customHeight="false" outlineLevel="0" collapsed="false">
      <c r="A49" s="2" t="s">
        <v>36</v>
      </c>
      <c r="B49" s="2" t="s">
        <v>37</v>
      </c>
      <c r="C49" s="2" t="s">
        <v>30</v>
      </c>
      <c r="D49" s="2" t="s">
        <v>23</v>
      </c>
      <c r="E49" s="3"/>
      <c r="F49" s="3"/>
      <c r="G49" s="3"/>
      <c r="H49" s="3"/>
      <c r="I49" s="3" t="n">
        <f aca="false">298.15*H49/96485</f>
        <v>0</v>
      </c>
      <c r="J49" s="3" t="n">
        <f aca="false">F49+G49-I49</f>
        <v>0</v>
      </c>
      <c r="K49" s="3" t="n">
        <f aca="false">E49+J49</f>
        <v>0</v>
      </c>
      <c r="L49" s="3"/>
      <c r="M49" s="3" t="n">
        <f aca="false">623.15*L49/96485</f>
        <v>0</v>
      </c>
      <c r="N49" s="3" t="n">
        <f aca="false">F49+G49-M49</f>
        <v>0</v>
      </c>
      <c r="O49" s="3" t="n">
        <f aca="false">E49+N49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11"/>
  </cols>
  <sheetData>
    <row r="1" customFormat="false" ht="36" hidden="false" customHeight="true" outlineLevel="0" collapsed="false">
      <c r="A1" s="1" t="s">
        <v>38</v>
      </c>
      <c r="B1" s="1" t="s">
        <v>4</v>
      </c>
      <c r="C1" s="1" t="s">
        <v>5</v>
      </c>
      <c r="D1" s="1" t="s">
        <v>6</v>
      </c>
      <c r="E1" s="1" t="s">
        <v>39</v>
      </c>
      <c r="F1" s="1" t="s">
        <v>40</v>
      </c>
      <c r="G1" s="1" t="s">
        <v>7</v>
      </c>
      <c r="H1" s="1" t="s">
        <v>41</v>
      </c>
      <c r="I1" s="1" t="s">
        <v>8</v>
      </c>
      <c r="J1" s="1" t="s">
        <v>42</v>
      </c>
      <c r="K1" s="1" t="s">
        <v>10</v>
      </c>
      <c r="L1" s="1" t="s">
        <v>43</v>
      </c>
      <c r="M1" s="1" t="s">
        <v>12</v>
      </c>
      <c r="N1" s="1" t="s">
        <v>44</v>
      </c>
      <c r="O1" s="1" t="s">
        <v>14</v>
      </c>
    </row>
    <row r="2" customFormat="false" ht="15" hidden="false" customHeight="false" outlineLevel="0" collapsed="false">
      <c r="A2" s="2" t="s">
        <v>45</v>
      </c>
      <c r="B2" s="3"/>
      <c r="C2" s="3"/>
      <c r="D2" s="3"/>
      <c r="E2" s="3"/>
      <c r="F2" s="3"/>
      <c r="G2" s="3"/>
      <c r="H2" s="3" t="n">
        <f aca="false">E2+F2+G2</f>
        <v>0</v>
      </c>
      <c r="I2" s="3" t="n">
        <f aca="false">298.15*H2/96485</f>
        <v>0</v>
      </c>
      <c r="J2" s="3" t="n">
        <f aca="false">D2+0.10277</f>
        <v>0.10277</v>
      </c>
      <c r="K2" s="3" t="n">
        <f aca="false">B2+C2+J2-I2</f>
        <v>0.10277</v>
      </c>
      <c r="L2" s="3" t="n">
        <f aca="false">H2</f>
        <v>0</v>
      </c>
      <c r="M2" s="3" t="n">
        <f aca="false">623.15*L2/96485</f>
        <v>0</v>
      </c>
      <c r="N2" s="3" t="n">
        <f aca="false">D2+0.21497</f>
        <v>0.21497</v>
      </c>
      <c r="O2" s="3" t="n">
        <f aca="false">B2+C2+N2-M2</f>
        <v>0.21497</v>
      </c>
    </row>
    <row r="3" customFormat="false" ht="15" hidden="false" customHeight="false" outlineLevel="0" collapsed="false">
      <c r="A3" s="2" t="s">
        <v>46</v>
      </c>
      <c r="B3" s="3"/>
      <c r="C3" s="3"/>
      <c r="D3" s="3"/>
      <c r="E3" s="3"/>
      <c r="F3" s="3"/>
      <c r="G3" s="3"/>
      <c r="H3" s="3" t="n">
        <f aca="false">E3+F3+G3</f>
        <v>0</v>
      </c>
      <c r="I3" s="3" t="n">
        <f aca="false">298.15*H3/96485</f>
        <v>0</v>
      </c>
      <c r="J3" s="3" t="n">
        <f aca="false">D3+0.10277</f>
        <v>0.10277</v>
      </c>
      <c r="K3" s="3" t="n">
        <f aca="false">B3+C3+J3-I3</f>
        <v>0.10277</v>
      </c>
      <c r="L3" s="3" t="n">
        <f aca="false">H3</f>
        <v>0</v>
      </c>
      <c r="M3" s="3" t="n">
        <f aca="false">623.15*L3/96485</f>
        <v>0</v>
      </c>
      <c r="N3" s="3" t="n">
        <f aca="false">D3+0.21497</f>
        <v>0.21497</v>
      </c>
      <c r="O3" s="3" t="n">
        <f aca="false">B3+C3+N3-M3</f>
        <v>0.21497</v>
      </c>
    </row>
    <row r="4" customFormat="false" ht="15" hidden="false" customHeight="false" outlineLevel="0" collapsed="false">
      <c r="A4" s="2" t="s">
        <v>47</v>
      </c>
      <c r="B4" s="3"/>
      <c r="C4" s="3"/>
      <c r="D4" s="3"/>
      <c r="E4" s="3"/>
      <c r="F4" s="3"/>
      <c r="G4" s="3"/>
      <c r="H4" s="3" t="n">
        <f aca="false">E4+F4+G4</f>
        <v>0</v>
      </c>
      <c r="I4" s="3" t="n">
        <f aca="false">298.15*H4/96485</f>
        <v>0</v>
      </c>
      <c r="J4" s="3" t="n">
        <f aca="false">D4+0.10277</f>
        <v>0.10277</v>
      </c>
      <c r="K4" s="3" t="n">
        <f aca="false">B4+C4+J4-I4</f>
        <v>0.10277</v>
      </c>
      <c r="L4" s="3" t="n">
        <f aca="false">H4</f>
        <v>0</v>
      </c>
      <c r="M4" s="3" t="n">
        <f aca="false">623.15*L4/96485</f>
        <v>0</v>
      </c>
      <c r="N4" s="3" t="n">
        <f aca="false">D4+0.21497</f>
        <v>0.21497</v>
      </c>
      <c r="O4" s="3" t="n">
        <f aca="false">B4+C4+N4-M4</f>
        <v>0.21497</v>
      </c>
    </row>
    <row r="5" customFormat="false" ht="15" hidden="false" customHeight="false" outlineLevel="0" collapsed="false">
      <c r="A5" s="2" t="s">
        <v>48</v>
      </c>
      <c r="B5" s="3"/>
      <c r="C5" s="3"/>
      <c r="D5" s="3"/>
      <c r="E5" s="3"/>
      <c r="F5" s="3"/>
      <c r="G5" s="3"/>
      <c r="H5" s="3" t="n">
        <f aca="false">E5+F5+G5</f>
        <v>0</v>
      </c>
      <c r="I5" s="3" t="n">
        <f aca="false">298.15*H5/96485</f>
        <v>0</v>
      </c>
      <c r="J5" s="3" t="n">
        <f aca="false">D5+0.10277</f>
        <v>0.10277</v>
      </c>
      <c r="K5" s="3" t="n">
        <f aca="false">B5+C5+J5-I5</f>
        <v>0.10277</v>
      </c>
      <c r="L5" s="3" t="n">
        <f aca="false">H5</f>
        <v>0</v>
      </c>
      <c r="M5" s="3" t="n">
        <f aca="false">623.15*L5/96485</f>
        <v>0</v>
      </c>
      <c r="N5" s="3" t="n">
        <f aca="false">D5+0.21497</f>
        <v>0.21497</v>
      </c>
      <c r="O5" s="3" t="n">
        <f aca="false">B5+C5+N5-M5</f>
        <v>0.21497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8"/>
    <col collapsed="false" customWidth="true" hidden="false" outlineLevel="0" max="6" min="5" style="0" width="16"/>
    <col collapsed="false" customWidth="true" hidden="false" outlineLevel="0" max="8" min="7" style="0" width="14"/>
  </cols>
  <sheetData>
    <row r="1" customFormat="false" ht="36" hidden="false" customHeight="true" outlineLevel="0" collapsed="false">
      <c r="A1" s="1" t="s">
        <v>0</v>
      </c>
      <c r="B1" s="1" t="s">
        <v>3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customFormat="false" ht="15" hidden="false" customHeight="false" outlineLevel="0" collapsed="false">
      <c r="A2" s="2" t="s">
        <v>15</v>
      </c>
      <c r="B2" s="2" t="s">
        <v>18</v>
      </c>
      <c r="C2" s="2" t="n">
        <v>0</v>
      </c>
      <c r="D2" s="2" t="n">
        <v>0</v>
      </c>
      <c r="E2" s="2" t="n">
        <v>0</v>
      </c>
      <c r="F2" s="2" t="n">
        <v>0</v>
      </c>
      <c r="G2" s="4" t="n">
        <f aca="false">INDEX(Adsorbed!K:K, MATCH(1, (Adsorbed!A:A=A2)*(Adsorbed!D:D=B2), 0)) - INDEX(Adsorbed!K:K, MATCH(1, (Adsorbed!A:A=A2)*(Adsorbed!D:D="s0"), 0)) - C2*INDEX(GasMolecules!K:K, MATCH("CO2", GasMolecules!A:A, 0)) - D2*INDEX(GasMolecules!K:K, MATCH("H2",  GasMolecules!A:A, 0)) + E2*INDEX(GasMolecules!K:K, MATCH("H2O", GasMolecules!A:A, 0)) + F2*INDEX(GasMolecules!K:K, MATCH("CH4", GasMolecules!A:A, 0))</f>
        <v>0</v>
      </c>
      <c r="H2" s="4" t="n">
        <f aca="false">INDEX(Adsorbed!O:O, MATCH(1, (Adsorbed!A:A=A2)*(Adsorbed!D:D=B2), 0)) - INDEX(Adsorbed!O:O, MATCH(1, (Adsorbed!A:A=A2)*(Adsorbed!D:D="s0"), 0)) - C2*INDEX(GasMolecules!O:O, MATCH("CO2", GasMolecules!A:A, 0)) - D2*INDEX(GasMolecules!O:O, MATCH("H2",  GasMolecules!A:A, 0)) + E2*INDEX(GasMolecules!O:O, MATCH("H2O", GasMolecules!A:A, 0)) + F2*INDEX(GasMolecules!O:O, MATCH("CH4", GasMolecules!A:A, 0))</f>
        <v>0</v>
      </c>
    </row>
    <row r="3" customFormat="false" ht="15" hidden="false" customHeight="false" outlineLevel="0" collapsed="false">
      <c r="A3" s="2" t="s">
        <v>15</v>
      </c>
      <c r="B3" s="2" t="s">
        <v>19</v>
      </c>
      <c r="C3" s="2" t="n">
        <v>1</v>
      </c>
      <c r="D3" s="2" t="n">
        <v>0</v>
      </c>
      <c r="E3" s="2" t="n">
        <v>0</v>
      </c>
      <c r="F3" s="2" t="n">
        <v>0</v>
      </c>
      <c r="G3" s="4" t="n">
        <f aca="false">INDEX(Adsorbed!K:K, MATCH(1, (Adsorbed!A:A=A3)*(Adsorbed!D:D=B3), 0)) - INDEX(Adsorbed!K:K, MATCH(1, (Adsorbed!A:A=A3)*(Adsorbed!D:D="s0"), 0)) - C3*INDEX(GasMolecules!K:K, MATCH("CO2", GasMolecules!A:A, 0)) - D3*INDEX(GasMolecules!K:K, MATCH("H2",  GasMolecules!A:A, 0)) + E3*INDEX(GasMolecules!K:K, MATCH("H2O", GasMolecules!A:A, 0)) + F3*INDEX(GasMolecules!K:K, MATCH("CH4", GasMolecules!A:A, 0))</f>
        <v>-0.10277</v>
      </c>
      <c r="H3" s="4" t="n">
        <f aca="false">INDEX(Adsorbed!O:O, MATCH(1, (Adsorbed!A:A=A3)*(Adsorbed!D:D=B3), 0)) - INDEX(Adsorbed!O:O, MATCH(1, (Adsorbed!A:A=A3)*(Adsorbed!D:D="s0"), 0)) - C3*INDEX(GasMolecules!O:O, MATCH("CO2", GasMolecules!A:A, 0)) - D3*INDEX(GasMolecules!O:O, MATCH("H2",  GasMolecules!A:A, 0)) + E3*INDEX(GasMolecules!O:O, MATCH("H2O", GasMolecules!A:A, 0)) + F3*INDEX(GasMolecules!O:O, MATCH("CH4", GasMolecules!A:A, 0))</f>
        <v>-0.21497</v>
      </c>
    </row>
    <row r="4" customFormat="false" ht="15" hidden="false" customHeight="false" outlineLevel="0" collapsed="false">
      <c r="A4" s="2" t="s">
        <v>15</v>
      </c>
      <c r="B4" s="2" t="s">
        <v>20</v>
      </c>
      <c r="C4" s="2" t="n">
        <v>1</v>
      </c>
      <c r="D4" s="2" t="n">
        <v>1</v>
      </c>
      <c r="E4" s="2" t="n">
        <v>0</v>
      </c>
      <c r="F4" s="2" t="n">
        <v>0</v>
      </c>
      <c r="G4" s="4" t="n">
        <f aca="false">INDEX(Adsorbed!K:K, MATCH(1, (Adsorbed!A:A=A4)*(Adsorbed!D:D=B4), 0)) - INDEX(Adsorbed!K:K, MATCH(1, (Adsorbed!A:A=A4)*(Adsorbed!D:D="s0"), 0)) - C4*INDEX(GasMolecules!K:K, MATCH("CO2", GasMolecules!A:A, 0)) - D4*INDEX(GasMolecules!K:K, MATCH("H2",  GasMolecules!A:A, 0)) + E4*INDEX(GasMolecules!K:K, MATCH("H2O", GasMolecules!A:A, 0)) + F4*INDEX(GasMolecules!K:K, MATCH("CH4", GasMolecules!A:A, 0))</f>
        <v>-0.20554</v>
      </c>
      <c r="H4" s="4" t="n">
        <f aca="false">INDEX(Adsorbed!O:O, MATCH(1, (Adsorbed!A:A=A4)*(Adsorbed!D:D=B4), 0)) - INDEX(Adsorbed!O:O, MATCH(1, (Adsorbed!A:A=A4)*(Adsorbed!D:D="s0"), 0)) - C4*INDEX(GasMolecules!O:O, MATCH("CO2", GasMolecules!A:A, 0)) - D4*INDEX(GasMolecules!O:O, MATCH("H2",  GasMolecules!A:A, 0)) + E4*INDEX(GasMolecules!O:O, MATCH("H2O", GasMolecules!A:A, 0)) + F4*INDEX(GasMolecules!O:O, MATCH("CH4", GasMolecules!A:A, 0))</f>
        <v>-0.42994</v>
      </c>
    </row>
    <row r="5" customFormat="false" ht="15" hidden="false" customHeight="false" outlineLevel="0" collapsed="false">
      <c r="A5" s="2" t="s">
        <v>15</v>
      </c>
      <c r="B5" s="2" t="s">
        <v>21</v>
      </c>
      <c r="C5" s="2" t="n">
        <v>1</v>
      </c>
      <c r="D5" s="2" t="n">
        <v>2</v>
      </c>
      <c r="E5" s="2" t="n">
        <v>1</v>
      </c>
      <c r="F5" s="2" t="n">
        <v>0</v>
      </c>
      <c r="G5" s="4" t="n">
        <f aca="false">INDEX(Adsorbed!K:K, MATCH(1, (Adsorbed!A:A=A5)*(Adsorbed!D:D=B5), 0)) - INDEX(Adsorbed!K:K, MATCH(1, (Adsorbed!A:A=A5)*(Adsorbed!D:D="s0"), 0)) - C5*INDEX(GasMolecules!K:K, MATCH("CO2", GasMolecules!A:A, 0)) - D5*INDEX(GasMolecules!K:K, MATCH("H2",  GasMolecules!A:A, 0)) + E5*INDEX(GasMolecules!K:K, MATCH("H2O", GasMolecules!A:A, 0)) + F5*INDEX(GasMolecules!K:K, MATCH("CH4", GasMolecules!A:A, 0))</f>
        <v>-0.20554</v>
      </c>
      <c r="H5" s="4" t="n">
        <f aca="false">INDEX(Adsorbed!O:O, MATCH(1, (Adsorbed!A:A=A5)*(Adsorbed!D:D=B5), 0)) - INDEX(Adsorbed!O:O, MATCH(1, (Adsorbed!A:A=A5)*(Adsorbed!D:D="s0"), 0)) - C5*INDEX(GasMolecules!O:O, MATCH("CO2", GasMolecules!A:A, 0)) - D5*INDEX(GasMolecules!O:O, MATCH("H2",  GasMolecules!A:A, 0)) + E5*INDEX(GasMolecules!O:O, MATCH("H2O", GasMolecules!A:A, 0)) + F5*INDEX(GasMolecules!O:O, MATCH("CH4", GasMolecules!A:A, 0))</f>
        <v>-0.42994</v>
      </c>
    </row>
    <row r="6" customFormat="false" ht="15" hidden="false" customHeight="false" outlineLevel="0" collapsed="false">
      <c r="A6" s="2" t="s">
        <v>15</v>
      </c>
      <c r="B6" s="2" t="s">
        <v>22</v>
      </c>
      <c r="C6" s="2" t="n">
        <v>1</v>
      </c>
      <c r="D6" s="2" t="n">
        <v>3</v>
      </c>
      <c r="E6" s="2" t="n">
        <v>1</v>
      </c>
      <c r="F6" s="2" t="n">
        <v>0</v>
      </c>
      <c r="G6" s="4" t="n">
        <f aca="false">INDEX(Adsorbed!K:K, MATCH(1, (Adsorbed!A:A=A6)*(Adsorbed!D:D=B6), 0)) - INDEX(Adsorbed!K:K, MATCH(1, (Adsorbed!A:A=A6)*(Adsorbed!D:D="s0"), 0)) - C6*INDEX(GasMolecules!K:K, MATCH("CO2", GasMolecules!A:A, 0)) - D6*INDEX(GasMolecules!K:K, MATCH("H2",  GasMolecules!A:A, 0)) + E6*INDEX(GasMolecules!K:K, MATCH("H2O", GasMolecules!A:A, 0)) + F6*INDEX(GasMolecules!K:K, MATCH("CH4", GasMolecules!A:A, 0))</f>
        <v>-0.30831</v>
      </c>
      <c r="H6" s="4" t="n">
        <f aca="false">INDEX(Adsorbed!O:O, MATCH(1, (Adsorbed!A:A=A6)*(Adsorbed!D:D=B6), 0)) - INDEX(Adsorbed!O:O, MATCH(1, (Adsorbed!A:A=A6)*(Adsorbed!D:D="s0"), 0)) - C6*INDEX(GasMolecules!O:O, MATCH("CO2", GasMolecules!A:A, 0)) - D6*INDEX(GasMolecules!O:O, MATCH("H2",  GasMolecules!A:A, 0)) + E6*INDEX(GasMolecules!O:O, MATCH("H2O", GasMolecules!A:A, 0)) + F6*INDEX(GasMolecules!O:O, MATCH("CH4", GasMolecules!A:A, 0))</f>
        <v>-0.64491</v>
      </c>
    </row>
    <row r="7" customFormat="false" ht="15" hidden="false" customHeight="false" outlineLevel="0" collapsed="false">
      <c r="A7" s="2" t="s">
        <v>15</v>
      </c>
      <c r="B7" s="2" t="s">
        <v>23</v>
      </c>
      <c r="C7" s="2" t="n">
        <v>1</v>
      </c>
      <c r="D7" s="2" t="n">
        <v>4</v>
      </c>
      <c r="E7" s="2" t="n">
        <v>1</v>
      </c>
      <c r="F7" s="2" t="n">
        <v>1</v>
      </c>
      <c r="G7" s="4" t="n">
        <f aca="false">INDEX(Adsorbed!K:K, MATCH(1, (Adsorbed!A:A=A7)*(Adsorbed!D:D=B7), 0)) - INDEX(Adsorbed!K:K, MATCH(1, (Adsorbed!A:A=A7)*(Adsorbed!D:D="s0"), 0)) - C7*INDEX(GasMolecules!K:K, MATCH("CO2", GasMolecules!A:A, 0)) - D7*INDEX(GasMolecules!K:K, MATCH("H2",  GasMolecules!A:A, 0)) + E7*INDEX(GasMolecules!K:K, MATCH("H2O", GasMolecules!A:A, 0)) + F7*INDEX(GasMolecules!K:K, MATCH("CH4", GasMolecules!A:A, 0))</f>
        <v>-0.30831</v>
      </c>
      <c r="H7" s="4" t="n">
        <f aca="false">INDEX(Adsorbed!O:O, MATCH(1, (Adsorbed!A:A=A7)*(Adsorbed!D:D=B7), 0)) - INDEX(Adsorbed!O:O, MATCH(1, (Adsorbed!A:A=A7)*(Adsorbed!D:D="s0"), 0)) - C7*INDEX(GasMolecules!O:O, MATCH("CO2", GasMolecules!A:A, 0)) - D7*INDEX(GasMolecules!O:O, MATCH("H2",  GasMolecules!A:A, 0)) + E7*INDEX(GasMolecules!O:O, MATCH("H2O", GasMolecules!A:A, 0)) + F7*INDEX(GasMolecules!O:O, MATCH("CH4", GasMolecules!A:A, 0))</f>
        <v>-0.64491</v>
      </c>
    </row>
    <row r="8" customFormat="false" ht="15" hidden="false" customHeight="false" outlineLevel="0" collapsed="false">
      <c r="A8" s="2" t="s">
        <v>24</v>
      </c>
      <c r="B8" s="2" t="s">
        <v>18</v>
      </c>
      <c r="C8" s="2" t="n">
        <v>0</v>
      </c>
      <c r="D8" s="2" t="n">
        <v>0</v>
      </c>
      <c r="E8" s="2" t="n">
        <v>0</v>
      </c>
      <c r="F8" s="2" t="n">
        <v>0</v>
      </c>
      <c r="G8" s="4" t="n">
        <f aca="false">INDEX(Adsorbed!K:K, MATCH(1, (Adsorbed!A:A=A8)*(Adsorbed!D:D=B8), 0)) - INDEX(Adsorbed!K:K, MATCH(1, (Adsorbed!A:A=A8)*(Adsorbed!D:D="s0"), 0)) - C8*INDEX(GasMolecules!K:K, MATCH("CO2", GasMolecules!A:A, 0)) - D8*INDEX(GasMolecules!K:K, MATCH("H2",  GasMolecules!A:A, 0)) + E8*INDEX(GasMolecules!K:K, MATCH("H2O", GasMolecules!A:A, 0)) + F8*INDEX(GasMolecules!K:K, MATCH("CH4", GasMolecules!A:A, 0))</f>
        <v>0</v>
      </c>
      <c r="H8" s="4" t="n">
        <f aca="false">INDEX(Adsorbed!O:O, MATCH(1, (Adsorbed!A:A=A8)*(Adsorbed!D:D=B8), 0)) - INDEX(Adsorbed!O:O, MATCH(1, (Adsorbed!A:A=A8)*(Adsorbed!D:D="s0"), 0)) - C8*INDEX(GasMolecules!O:O, MATCH("CO2", GasMolecules!A:A, 0)) - D8*INDEX(GasMolecules!O:O, MATCH("H2",  GasMolecules!A:A, 0)) + E8*INDEX(GasMolecules!O:O, MATCH("H2O", GasMolecules!A:A, 0)) + F8*INDEX(GasMolecules!O:O, MATCH("CH4", GasMolecules!A:A, 0))</f>
        <v>0</v>
      </c>
    </row>
    <row r="9" customFormat="false" ht="15" hidden="false" customHeight="false" outlineLevel="0" collapsed="false">
      <c r="A9" s="2" t="s">
        <v>24</v>
      </c>
      <c r="B9" s="2" t="s">
        <v>19</v>
      </c>
      <c r="C9" s="2" t="n">
        <v>1</v>
      </c>
      <c r="D9" s="2" t="n">
        <v>0</v>
      </c>
      <c r="E9" s="2" t="n">
        <v>0</v>
      </c>
      <c r="F9" s="2" t="n">
        <v>0</v>
      </c>
      <c r="G9" s="4" t="n">
        <f aca="false">INDEX(Adsorbed!K:K, MATCH(1, (Adsorbed!A:A=A9)*(Adsorbed!D:D=B9), 0)) - INDEX(Adsorbed!K:K, MATCH(1, (Adsorbed!A:A=A9)*(Adsorbed!D:D="s0"), 0)) - C9*INDEX(GasMolecules!K:K, MATCH("CO2", GasMolecules!A:A, 0)) - D9*INDEX(GasMolecules!K:K, MATCH("H2",  GasMolecules!A:A, 0)) + E9*INDEX(GasMolecules!K:K, MATCH("H2O", GasMolecules!A:A, 0)) + F9*INDEX(GasMolecules!K:K, MATCH("CH4", GasMolecules!A:A, 0))</f>
        <v>-0.10277</v>
      </c>
      <c r="H9" s="4" t="n">
        <f aca="false">INDEX(Adsorbed!O:O, MATCH(1, (Adsorbed!A:A=A9)*(Adsorbed!D:D=B9), 0)) - INDEX(Adsorbed!O:O, MATCH(1, (Adsorbed!A:A=A9)*(Adsorbed!D:D="s0"), 0)) - C9*INDEX(GasMolecules!O:O, MATCH("CO2", GasMolecules!A:A, 0)) - D9*INDEX(GasMolecules!O:O, MATCH("H2",  GasMolecules!A:A, 0)) + E9*INDEX(GasMolecules!O:O, MATCH("H2O", GasMolecules!A:A, 0)) + F9*INDEX(GasMolecules!O:O, MATCH("CH4", GasMolecules!A:A, 0))</f>
        <v>-0.21497</v>
      </c>
    </row>
    <row r="10" customFormat="false" ht="15" hidden="false" customHeight="false" outlineLevel="0" collapsed="false">
      <c r="A10" s="2" t="s">
        <v>24</v>
      </c>
      <c r="B10" s="2" t="s">
        <v>20</v>
      </c>
      <c r="C10" s="2" t="n">
        <v>1</v>
      </c>
      <c r="D10" s="2" t="n">
        <v>1</v>
      </c>
      <c r="E10" s="2" t="n">
        <v>0</v>
      </c>
      <c r="F10" s="2" t="n">
        <v>0</v>
      </c>
      <c r="G10" s="4" t="n">
        <f aca="false">INDEX(Adsorbed!K:K, MATCH(1, (Adsorbed!A:A=A10)*(Adsorbed!D:D=B10), 0)) - INDEX(Adsorbed!K:K, MATCH(1, (Adsorbed!A:A=A10)*(Adsorbed!D:D="s0"), 0)) - C10*INDEX(GasMolecules!K:K, MATCH("CO2", GasMolecules!A:A, 0)) - D10*INDEX(GasMolecules!K:K, MATCH("H2",  GasMolecules!A:A, 0)) + E10*INDEX(GasMolecules!K:K, MATCH("H2O", GasMolecules!A:A, 0)) + F10*INDEX(GasMolecules!K:K, MATCH("CH4", GasMolecules!A:A, 0))</f>
        <v>-0.20554</v>
      </c>
      <c r="H10" s="4" t="n">
        <f aca="false">INDEX(Adsorbed!O:O, MATCH(1, (Adsorbed!A:A=A10)*(Adsorbed!D:D=B10), 0)) - INDEX(Adsorbed!O:O, MATCH(1, (Adsorbed!A:A=A10)*(Adsorbed!D:D="s0"), 0)) - C10*INDEX(GasMolecules!O:O, MATCH("CO2", GasMolecules!A:A, 0)) - D10*INDEX(GasMolecules!O:O, MATCH("H2",  GasMolecules!A:A, 0)) + E10*INDEX(GasMolecules!O:O, MATCH("H2O", GasMolecules!A:A, 0)) + F10*INDEX(GasMolecules!O:O, MATCH("CH4", GasMolecules!A:A, 0))</f>
        <v>-0.42994</v>
      </c>
    </row>
    <row r="11" customFormat="false" ht="15" hidden="false" customHeight="false" outlineLevel="0" collapsed="false">
      <c r="A11" s="2" t="s">
        <v>24</v>
      </c>
      <c r="B11" s="2" t="s">
        <v>21</v>
      </c>
      <c r="C11" s="2" t="n">
        <v>1</v>
      </c>
      <c r="D11" s="2" t="n">
        <v>2</v>
      </c>
      <c r="E11" s="2" t="n">
        <v>1</v>
      </c>
      <c r="F11" s="2" t="n">
        <v>0</v>
      </c>
      <c r="G11" s="4" t="n">
        <f aca="false">INDEX(Adsorbed!K:K, MATCH(1, (Adsorbed!A:A=A11)*(Adsorbed!D:D=B11), 0)) - INDEX(Adsorbed!K:K, MATCH(1, (Adsorbed!A:A=A11)*(Adsorbed!D:D="s0"), 0)) - C11*INDEX(GasMolecules!K:K, MATCH("CO2", GasMolecules!A:A, 0)) - D11*INDEX(GasMolecules!K:K, MATCH("H2",  GasMolecules!A:A, 0)) + E11*INDEX(GasMolecules!K:K, MATCH("H2O", GasMolecules!A:A, 0)) + F11*INDEX(GasMolecules!K:K, MATCH("CH4", GasMolecules!A:A, 0))</f>
        <v>-0.20554</v>
      </c>
      <c r="H11" s="4" t="n">
        <f aca="false">INDEX(Adsorbed!O:O, MATCH(1, (Adsorbed!A:A=A11)*(Adsorbed!D:D=B11), 0)) - INDEX(Adsorbed!O:O, MATCH(1, (Adsorbed!A:A=A11)*(Adsorbed!D:D="s0"), 0)) - C11*INDEX(GasMolecules!O:O, MATCH("CO2", GasMolecules!A:A, 0)) - D11*INDEX(GasMolecules!O:O, MATCH("H2",  GasMolecules!A:A, 0)) + E11*INDEX(GasMolecules!O:O, MATCH("H2O", GasMolecules!A:A, 0)) + F11*INDEX(GasMolecules!O:O, MATCH("CH4", GasMolecules!A:A, 0))</f>
        <v>-0.42994</v>
      </c>
    </row>
    <row r="12" customFormat="false" ht="15" hidden="false" customHeight="false" outlineLevel="0" collapsed="false">
      <c r="A12" s="2" t="s">
        <v>24</v>
      </c>
      <c r="B12" s="2" t="s">
        <v>22</v>
      </c>
      <c r="C12" s="2" t="n">
        <v>1</v>
      </c>
      <c r="D12" s="2" t="n">
        <v>3</v>
      </c>
      <c r="E12" s="2" t="n">
        <v>1</v>
      </c>
      <c r="F12" s="2" t="n">
        <v>0</v>
      </c>
      <c r="G12" s="4" t="n">
        <f aca="false">INDEX(Adsorbed!K:K, MATCH(1, (Adsorbed!A:A=A12)*(Adsorbed!D:D=B12), 0)) - INDEX(Adsorbed!K:K, MATCH(1, (Adsorbed!A:A=A12)*(Adsorbed!D:D="s0"), 0)) - C12*INDEX(GasMolecules!K:K, MATCH("CO2", GasMolecules!A:A, 0)) - D12*INDEX(GasMolecules!K:K, MATCH("H2",  GasMolecules!A:A, 0)) + E12*INDEX(GasMolecules!K:K, MATCH("H2O", GasMolecules!A:A, 0)) + F12*INDEX(GasMolecules!K:K, MATCH("CH4", GasMolecules!A:A, 0))</f>
        <v>-0.30831</v>
      </c>
      <c r="H12" s="4" t="n">
        <f aca="false">INDEX(Adsorbed!O:O, MATCH(1, (Adsorbed!A:A=A12)*(Adsorbed!D:D=B12), 0)) - INDEX(Adsorbed!O:O, MATCH(1, (Adsorbed!A:A=A12)*(Adsorbed!D:D="s0"), 0)) - C12*INDEX(GasMolecules!O:O, MATCH("CO2", GasMolecules!A:A, 0)) - D12*INDEX(GasMolecules!O:O, MATCH("H2",  GasMolecules!A:A, 0)) + E12*INDEX(GasMolecules!O:O, MATCH("H2O", GasMolecules!A:A, 0)) + F12*INDEX(GasMolecules!O:O, MATCH("CH4", GasMolecules!A:A, 0))</f>
        <v>-0.64491</v>
      </c>
    </row>
    <row r="13" customFormat="false" ht="15" hidden="false" customHeight="false" outlineLevel="0" collapsed="false">
      <c r="A13" s="2" t="s">
        <v>24</v>
      </c>
      <c r="B13" s="2" t="s">
        <v>23</v>
      </c>
      <c r="C13" s="2" t="n">
        <v>1</v>
      </c>
      <c r="D13" s="2" t="n">
        <v>4</v>
      </c>
      <c r="E13" s="2" t="n">
        <v>1</v>
      </c>
      <c r="F13" s="2" t="n">
        <v>1</v>
      </c>
      <c r="G13" s="4" t="n">
        <f aca="false">INDEX(Adsorbed!K:K, MATCH(1, (Adsorbed!A:A=A13)*(Adsorbed!D:D=B13), 0)) - INDEX(Adsorbed!K:K, MATCH(1, (Adsorbed!A:A=A13)*(Adsorbed!D:D="s0"), 0)) - C13*INDEX(GasMolecules!K:K, MATCH("CO2", GasMolecules!A:A, 0)) - D13*INDEX(GasMolecules!K:K, MATCH("H2",  GasMolecules!A:A, 0)) + E13*INDEX(GasMolecules!K:K, MATCH("H2O", GasMolecules!A:A, 0)) + F13*INDEX(GasMolecules!K:K, MATCH("CH4", GasMolecules!A:A, 0))</f>
        <v>-0.30831</v>
      </c>
      <c r="H13" s="4" t="n">
        <f aca="false">INDEX(Adsorbed!O:O, MATCH(1, (Adsorbed!A:A=A13)*(Adsorbed!D:D=B13), 0)) - INDEX(Adsorbed!O:O, MATCH(1, (Adsorbed!A:A=A13)*(Adsorbed!D:D="s0"), 0)) - C13*INDEX(GasMolecules!O:O, MATCH("CO2", GasMolecules!A:A, 0)) - D13*INDEX(GasMolecules!O:O, MATCH("H2",  GasMolecules!A:A, 0)) + E13*INDEX(GasMolecules!O:O, MATCH("H2O", GasMolecules!A:A, 0)) + F13*INDEX(GasMolecules!O:O, MATCH("CH4", GasMolecules!A:A, 0))</f>
        <v>-0.64491</v>
      </c>
    </row>
    <row r="14" customFormat="false" ht="15" hidden="false" customHeight="false" outlineLevel="0" collapsed="false">
      <c r="A14" s="2" t="s">
        <v>26</v>
      </c>
      <c r="B14" s="2" t="s">
        <v>18</v>
      </c>
      <c r="C14" s="2" t="n">
        <v>0</v>
      </c>
      <c r="D14" s="2" t="n">
        <v>0</v>
      </c>
      <c r="E14" s="2" t="n">
        <v>0</v>
      </c>
      <c r="F14" s="2" t="n">
        <v>0</v>
      </c>
      <c r="G14" s="4" t="n">
        <f aca="false">INDEX(Adsorbed!K:K, MATCH(1, (Adsorbed!A:A=A14)*(Adsorbed!D:D=B14), 0)) - INDEX(Adsorbed!K:K, MATCH(1, (Adsorbed!A:A=A14)*(Adsorbed!D:D="s0"), 0)) - C14*INDEX(GasMolecules!K:K, MATCH("CO2", GasMolecules!A:A, 0)) - D14*INDEX(GasMolecules!K:K, MATCH("H2",  GasMolecules!A:A, 0)) + E14*INDEX(GasMolecules!K:K, MATCH("H2O", GasMolecules!A:A, 0)) + F14*INDEX(GasMolecules!K:K, MATCH("CH4", GasMolecules!A:A, 0))</f>
        <v>0</v>
      </c>
      <c r="H14" s="4" t="n">
        <f aca="false">INDEX(Adsorbed!O:O, MATCH(1, (Adsorbed!A:A=A14)*(Adsorbed!D:D=B14), 0)) - INDEX(Adsorbed!O:O, MATCH(1, (Adsorbed!A:A=A14)*(Adsorbed!D:D="s0"), 0)) - C14*INDEX(GasMolecules!O:O, MATCH("CO2", GasMolecules!A:A, 0)) - D14*INDEX(GasMolecules!O:O, MATCH("H2",  GasMolecules!A:A, 0)) + E14*INDEX(GasMolecules!O:O, MATCH("H2O", GasMolecules!A:A, 0)) + F14*INDEX(GasMolecules!O:O, MATCH("CH4", GasMolecules!A:A, 0))</f>
        <v>0</v>
      </c>
    </row>
    <row r="15" customFormat="false" ht="15" hidden="false" customHeight="false" outlineLevel="0" collapsed="false">
      <c r="A15" s="2" t="s">
        <v>26</v>
      </c>
      <c r="B15" s="2" t="s">
        <v>19</v>
      </c>
      <c r="C15" s="2" t="n">
        <v>1</v>
      </c>
      <c r="D15" s="2" t="n">
        <v>0</v>
      </c>
      <c r="E15" s="2" t="n">
        <v>0</v>
      </c>
      <c r="F15" s="2" t="n">
        <v>0</v>
      </c>
      <c r="G15" s="4" t="n">
        <f aca="false">INDEX(Adsorbed!K:K, MATCH(1, (Adsorbed!A:A=A15)*(Adsorbed!D:D=B15), 0)) - INDEX(Adsorbed!K:K, MATCH(1, (Adsorbed!A:A=A15)*(Adsorbed!D:D="s0"), 0)) - C15*INDEX(GasMolecules!K:K, MATCH("CO2", GasMolecules!A:A, 0)) - D15*INDEX(GasMolecules!K:K, MATCH("H2",  GasMolecules!A:A, 0)) + E15*INDEX(GasMolecules!K:K, MATCH("H2O", GasMolecules!A:A, 0)) + F15*INDEX(GasMolecules!K:K, MATCH("CH4", GasMolecules!A:A, 0))</f>
        <v>-0.10277</v>
      </c>
      <c r="H15" s="4" t="n">
        <f aca="false">INDEX(Adsorbed!O:O, MATCH(1, (Adsorbed!A:A=A15)*(Adsorbed!D:D=B15), 0)) - INDEX(Adsorbed!O:O, MATCH(1, (Adsorbed!A:A=A15)*(Adsorbed!D:D="s0"), 0)) - C15*INDEX(GasMolecules!O:O, MATCH("CO2", GasMolecules!A:A, 0)) - D15*INDEX(GasMolecules!O:O, MATCH("H2",  GasMolecules!A:A, 0)) + E15*INDEX(GasMolecules!O:O, MATCH("H2O", GasMolecules!A:A, 0)) + F15*INDEX(GasMolecules!O:O, MATCH("CH4", GasMolecules!A:A, 0))</f>
        <v>-0.21497</v>
      </c>
    </row>
    <row r="16" customFormat="false" ht="15" hidden="false" customHeight="false" outlineLevel="0" collapsed="false">
      <c r="A16" s="2" t="s">
        <v>26</v>
      </c>
      <c r="B16" s="2" t="s">
        <v>20</v>
      </c>
      <c r="C16" s="2" t="n">
        <v>1</v>
      </c>
      <c r="D16" s="2" t="n">
        <v>1</v>
      </c>
      <c r="E16" s="2" t="n">
        <v>0</v>
      </c>
      <c r="F16" s="2" t="n">
        <v>0</v>
      </c>
      <c r="G16" s="4" t="n">
        <f aca="false">INDEX(Adsorbed!K:K, MATCH(1, (Adsorbed!A:A=A16)*(Adsorbed!D:D=B16), 0)) - INDEX(Adsorbed!K:K, MATCH(1, (Adsorbed!A:A=A16)*(Adsorbed!D:D="s0"), 0)) - C16*INDEX(GasMolecules!K:K, MATCH("CO2", GasMolecules!A:A, 0)) - D16*INDEX(GasMolecules!K:K, MATCH("H2",  GasMolecules!A:A, 0)) + E16*INDEX(GasMolecules!K:K, MATCH("H2O", GasMolecules!A:A, 0)) + F16*INDEX(GasMolecules!K:K, MATCH("CH4", GasMolecules!A:A, 0))</f>
        <v>-0.20554</v>
      </c>
      <c r="H16" s="4" t="n">
        <f aca="false">INDEX(Adsorbed!O:O, MATCH(1, (Adsorbed!A:A=A16)*(Adsorbed!D:D=B16), 0)) - INDEX(Adsorbed!O:O, MATCH(1, (Adsorbed!A:A=A16)*(Adsorbed!D:D="s0"), 0)) - C16*INDEX(GasMolecules!O:O, MATCH("CO2", GasMolecules!A:A, 0)) - D16*INDEX(GasMolecules!O:O, MATCH("H2",  GasMolecules!A:A, 0)) + E16*INDEX(GasMolecules!O:O, MATCH("H2O", GasMolecules!A:A, 0)) + F16*INDEX(GasMolecules!O:O, MATCH("CH4", GasMolecules!A:A, 0))</f>
        <v>-0.42994</v>
      </c>
    </row>
    <row r="17" customFormat="false" ht="15" hidden="false" customHeight="false" outlineLevel="0" collapsed="false">
      <c r="A17" s="2" t="s">
        <v>26</v>
      </c>
      <c r="B17" s="2" t="s">
        <v>21</v>
      </c>
      <c r="C17" s="2" t="n">
        <v>1</v>
      </c>
      <c r="D17" s="2" t="n">
        <v>2</v>
      </c>
      <c r="E17" s="2" t="n">
        <v>1</v>
      </c>
      <c r="F17" s="2" t="n">
        <v>0</v>
      </c>
      <c r="G17" s="4" t="n">
        <f aca="false">INDEX(Adsorbed!K:K, MATCH(1, (Adsorbed!A:A=A17)*(Adsorbed!D:D=B17), 0)) - INDEX(Adsorbed!K:K, MATCH(1, (Adsorbed!A:A=A17)*(Adsorbed!D:D="s0"), 0)) - C17*INDEX(GasMolecules!K:K, MATCH("CO2", GasMolecules!A:A, 0)) - D17*INDEX(GasMolecules!K:K, MATCH("H2",  GasMolecules!A:A, 0)) + E17*INDEX(GasMolecules!K:K, MATCH("H2O", GasMolecules!A:A, 0)) + F17*INDEX(GasMolecules!K:K, MATCH("CH4", GasMolecules!A:A, 0))</f>
        <v>-0.20554</v>
      </c>
      <c r="H17" s="4" t="n">
        <f aca="false">INDEX(Adsorbed!O:O, MATCH(1, (Adsorbed!A:A=A17)*(Adsorbed!D:D=B17), 0)) - INDEX(Adsorbed!O:O, MATCH(1, (Adsorbed!A:A=A17)*(Adsorbed!D:D="s0"), 0)) - C17*INDEX(GasMolecules!O:O, MATCH("CO2", GasMolecules!A:A, 0)) - D17*INDEX(GasMolecules!O:O, MATCH("H2",  GasMolecules!A:A, 0)) + E17*INDEX(GasMolecules!O:O, MATCH("H2O", GasMolecules!A:A, 0)) + F17*INDEX(GasMolecules!O:O, MATCH("CH4", GasMolecules!A:A, 0))</f>
        <v>-0.42994</v>
      </c>
    </row>
    <row r="18" customFormat="false" ht="15" hidden="false" customHeight="false" outlineLevel="0" collapsed="false">
      <c r="A18" s="2" t="s">
        <v>26</v>
      </c>
      <c r="B18" s="2" t="s">
        <v>22</v>
      </c>
      <c r="C18" s="2" t="n">
        <v>1</v>
      </c>
      <c r="D18" s="2" t="n">
        <v>3</v>
      </c>
      <c r="E18" s="2" t="n">
        <v>1</v>
      </c>
      <c r="F18" s="2" t="n">
        <v>0</v>
      </c>
      <c r="G18" s="4" t="n">
        <f aca="false">INDEX(Adsorbed!K:K, MATCH(1, (Adsorbed!A:A=A18)*(Adsorbed!D:D=B18), 0)) - INDEX(Adsorbed!K:K, MATCH(1, (Adsorbed!A:A=A18)*(Adsorbed!D:D="s0"), 0)) - C18*INDEX(GasMolecules!K:K, MATCH("CO2", GasMolecules!A:A, 0)) - D18*INDEX(GasMolecules!K:K, MATCH("H2",  GasMolecules!A:A, 0)) + E18*INDEX(GasMolecules!K:K, MATCH("H2O", GasMolecules!A:A, 0)) + F18*INDEX(GasMolecules!K:K, MATCH("CH4", GasMolecules!A:A, 0))</f>
        <v>-0.30831</v>
      </c>
      <c r="H18" s="4" t="n">
        <f aca="false">INDEX(Adsorbed!O:O, MATCH(1, (Adsorbed!A:A=A18)*(Adsorbed!D:D=B18), 0)) - INDEX(Adsorbed!O:O, MATCH(1, (Adsorbed!A:A=A18)*(Adsorbed!D:D="s0"), 0)) - C18*INDEX(GasMolecules!O:O, MATCH("CO2", GasMolecules!A:A, 0)) - D18*INDEX(GasMolecules!O:O, MATCH("H2",  GasMolecules!A:A, 0)) + E18*INDEX(GasMolecules!O:O, MATCH("H2O", GasMolecules!A:A, 0)) + F18*INDEX(GasMolecules!O:O, MATCH("CH4", GasMolecules!A:A, 0))</f>
        <v>-0.64491</v>
      </c>
    </row>
    <row r="19" customFormat="false" ht="15" hidden="false" customHeight="false" outlineLevel="0" collapsed="false">
      <c r="A19" s="2" t="s">
        <v>26</v>
      </c>
      <c r="B19" s="2" t="s">
        <v>23</v>
      </c>
      <c r="C19" s="2" t="n">
        <v>1</v>
      </c>
      <c r="D19" s="2" t="n">
        <v>4</v>
      </c>
      <c r="E19" s="2" t="n">
        <v>1</v>
      </c>
      <c r="F19" s="2" t="n">
        <v>1</v>
      </c>
      <c r="G19" s="4" t="n">
        <f aca="false">INDEX(Adsorbed!K:K, MATCH(1, (Adsorbed!A:A=A19)*(Adsorbed!D:D=B19), 0)) - INDEX(Adsorbed!K:K, MATCH(1, (Adsorbed!A:A=A19)*(Adsorbed!D:D="s0"), 0)) - C19*INDEX(GasMolecules!K:K, MATCH("CO2", GasMolecules!A:A, 0)) - D19*INDEX(GasMolecules!K:K, MATCH("H2",  GasMolecules!A:A, 0)) + E19*INDEX(GasMolecules!K:K, MATCH("H2O", GasMolecules!A:A, 0)) + F19*INDEX(GasMolecules!K:K, MATCH("CH4", GasMolecules!A:A, 0))</f>
        <v>-0.30831</v>
      </c>
      <c r="H19" s="4" t="n">
        <f aca="false">INDEX(Adsorbed!O:O, MATCH(1, (Adsorbed!A:A=A19)*(Adsorbed!D:D=B19), 0)) - INDEX(Adsorbed!O:O, MATCH(1, (Adsorbed!A:A=A19)*(Adsorbed!D:D="s0"), 0)) - C19*INDEX(GasMolecules!O:O, MATCH("CO2", GasMolecules!A:A, 0)) - D19*INDEX(GasMolecules!O:O, MATCH("H2",  GasMolecules!A:A, 0)) + E19*INDEX(GasMolecules!O:O, MATCH("H2O", GasMolecules!A:A, 0)) + F19*INDEX(GasMolecules!O:O, MATCH("CH4", GasMolecules!A:A, 0))</f>
        <v>-0.64491</v>
      </c>
    </row>
    <row r="20" customFormat="false" ht="15" hidden="false" customHeight="false" outlineLevel="0" collapsed="false">
      <c r="A20" s="2" t="s">
        <v>28</v>
      </c>
      <c r="B20" s="2" t="s">
        <v>18</v>
      </c>
      <c r="C20" s="2" t="n">
        <v>0</v>
      </c>
      <c r="D20" s="2" t="n">
        <v>0</v>
      </c>
      <c r="E20" s="2" t="n">
        <v>0</v>
      </c>
      <c r="F20" s="2" t="n">
        <v>0</v>
      </c>
      <c r="G20" s="4" t="n">
        <f aca="false">INDEX(Adsorbed!K:K, MATCH(1, (Adsorbed!A:A=A20)*(Adsorbed!D:D=B20), 0)) - INDEX(Adsorbed!K:K, MATCH(1, (Adsorbed!A:A=A20)*(Adsorbed!D:D="s0"), 0)) - C20*INDEX(GasMolecules!K:K, MATCH("CO2", GasMolecules!A:A, 0)) - D20*INDEX(GasMolecules!K:K, MATCH("H2",  GasMolecules!A:A, 0)) + E20*INDEX(GasMolecules!K:K, MATCH("H2O", GasMolecules!A:A, 0)) + F20*INDEX(GasMolecules!K:K, MATCH("CH4", GasMolecules!A:A, 0))</f>
        <v>0</v>
      </c>
      <c r="H20" s="4" t="n">
        <f aca="false">INDEX(Adsorbed!O:O, MATCH(1, (Adsorbed!A:A=A20)*(Adsorbed!D:D=B20), 0)) - INDEX(Adsorbed!O:O, MATCH(1, (Adsorbed!A:A=A20)*(Adsorbed!D:D="s0"), 0)) - C20*INDEX(GasMolecules!O:O, MATCH("CO2", GasMolecules!A:A, 0)) - D20*INDEX(GasMolecules!O:O, MATCH("H2",  GasMolecules!A:A, 0)) + E20*INDEX(GasMolecules!O:O, MATCH("H2O", GasMolecules!A:A, 0)) + F20*INDEX(GasMolecules!O:O, MATCH("CH4", GasMolecules!A:A, 0))</f>
        <v>0</v>
      </c>
    </row>
    <row r="21" customFormat="false" ht="15" hidden="false" customHeight="false" outlineLevel="0" collapsed="false">
      <c r="A21" s="2" t="s">
        <v>28</v>
      </c>
      <c r="B21" s="2" t="s">
        <v>19</v>
      </c>
      <c r="C21" s="2" t="n">
        <v>1</v>
      </c>
      <c r="D21" s="2" t="n">
        <v>0</v>
      </c>
      <c r="E21" s="2" t="n">
        <v>0</v>
      </c>
      <c r="F21" s="2" t="n">
        <v>0</v>
      </c>
      <c r="G21" s="4" t="n">
        <f aca="false">INDEX(Adsorbed!K:K, MATCH(1, (Adsorbed!A:A=A21)*(Adsorbed!D:D=B21), 0)) - INDEX(Adsorbed!K:K, MATCH(1, (Adsorbed!A:A=A21)*(Adsorbed!D:D="s0"), 0)) - C21*INDEX(GasMolecules!K:K, MATCH("CO2", GasMolecules!A:A, 0)) - D21*INDEX(GasMolecules!K:K, MATCH("H2",  GasMolecules!A:A, 0)) + E21*INDEX(GasMolecules!K:K, MATCH("H2O", GasMolecules!A:A, 0)) + F21*INDEX(GasMolecules!K:K, MATCH("CH4", GasMolecules!A:A, 0))</f>
        <v>-0.10277</v>
      </c>
      <c r="H21" s="4" t="n">
        <f aca="false">INDEX(Adsorbed!O:O, MATCH(1, (Adsorbed!A:A=A21)*(Adsorbed!D:D=B21), 0)) - INDEX(Adsorbed!O:O, MATCH(1, (Adsorbed!A:A=A21)*(Adsorbed!D:D="s0"), 0)) - C21*INDEX(GasMolecules!O:O, MATCH("CO2", GasMolecules!A:A, 0)) - D21*INDEX(GasMolecules!O:O, MATCH("H2",  GasMolecules!A:A, 0)) + E21*INDEX(GasMolecules!O:O, MATCH("H2O", GasMolecules!A:A, 0)) + F21*INDEX(GasMolecules!O:O, MATCH("CH4", GasMolecules!A:A, 0))</f>
        <v>-0.21497</v>
      </c>
    </row>
    <row r="22" customFormat="false" ht="15" hidden="false" customHeight="false" outlineLevel="0" collapsed="false">
      <c r="A22" s="2" t="s">
        <v>28</v>
      </c>
      <c r="B22" s="2" t="s">
        <v>20</v>
      </c>
      <c r="C22" s="2" t="n">
        <v>1</v>
      </c>
      <c r="D22" s="2" t="n">
        <v>1</v>
      </c>
      <c r="E22" s="2" t="n">
        <v>0</v>
      </c>
      <c r="F22" s="2" t="n">
        <v>0</v>
      </c>
      <c r="G22" s="4" t="n">
        <f aca="false">INDEX(Adsorbed!K:K, MATCH(1, (Adsorbed!A:A=A22)*(Adsorbed!D:D=B22), 0)) - INDEX(Adsorbed!K:K, MATCH(1, (Adsorbed!A:A=A22)*(Adsorbed!D:D="s0"), 0)) - C22*INDEX(GasMolecules!K:K, MATCH("CO2", GasMolecules!A:A, 0)) - D22*INDEX(GasMolecules!K:K, MATCH("H2",  GasMolecules!A:A, 0)) + E22*INDEX(GasMolecules!K:K, MATCH("H2O", GasMolecules!A:A, 0)) + F22*INDEX(GasMolecules!K:K, MATCH("CH4", GasMolecules!A:A, 0))</f>
        <v>-0.20554</v>
      </c>
      <c r="H22" s="4" t="n">
        <f aca="false">INDEX(Adsorbed!O:O, MATCH(1, (Adsorbed!A:A=A22)*(Adsorbed!D:D=B22), 0)) - INDEX(Adsorbed!O:O, MATCH(1, (Adsorbed!A:A=A22)*(Adsorbed!D:D="s0"), 0)) - C22*INDEX(GasMolecules!O:O, MATCH("CO2", GasMolecules!A:A, 0)) - D22*INDEX(GasMolecules!O:O, MATCH("H2",  GasMolecules!A:A, 0)) + E22*INDEX(GasMolecules!O:O, MATCH("H2O", GasMolecules!A:A, 0)) + F22*INDEX(GasMolecules!O:O, MATCH("CH4", GasMolecules!A:A, 0))</f>
        <v>-0.42994</v>
      </c>
    </row>
    <row r="23" customFormat="false" ht="15" hidden="false" customHeight="false" outlineLevel="0" collapsed="false">
      <c r="A23" s="2" t="s">
        <v>28</v>
      </c>
      <c r="B23" s="2" t="s">
        <v>21</v>
      </c>
      <c r="C23" s="2" t="n">
        <v>1</v>
      </c>
      <c r="D23" s="2" t="n">
        <v>2</v>
      </c>
      <c r="E23" s="2" t="n">
        <v>1</v>
      </c>
      <c r="F23" s="2" t="n">
        <v>0</v>
      </c>
      <c r="G23" s="4" t="n">
        <f aca="false">INDEX(Adsorbed!K:K, MATCH(1, (Adsorbed!A:A=A23)*(Adsorbed!D:D=B23), 0)) - INDEX(Adsorbed!K:K, MATCH(1, (Adsorbed!A:A=A23)*(Adsorbed!D:D="s0"), 0)) - C23*INDEX(GasMolecules!K:K, MATCH("CO2", GasMolecules!A:A, 0)) - D23*INDEX(GasMolecules!K:K, MATCH("H2",  GasMolecules!A:A, 0)) + E23*INDEX(GasMolecules!K:K, MATCH("H2O", GasMolecules!A:A, 0)) + F23*INDEX(GasMolecules!K:K, MATCH("CH4", GasMolecules!A:A, 0))</f>
        <v>-0.20554</v>
      </c>
      <c r="H23" s="4" t="n">
        <f aca="false">INDEX(Adsorbed!O:O, MATCH(1, (Adsorbed!A:A=A23)*(Adsorbed!D:D=B23), 0)) - INDEX(Adsorbed!O:O, MATCH(1, (Adsorbed!A:A=A23)*(Adsorbed!D:D="s0"), 0)) - C23*INDEX(GasMolecules!O:O, MATCH("CO2", GasMolecules!A:A, 0)) - D23*INDEX(GasMolecules!O:O, MATCH("H2",  GasMolecules!A:A, 0)) + E23*INDEX(GasMolecules!O:O, MATCH("H2O", GasMolecules!A:A, 0)) + F23*INDEX(GasMolecules!O:O, MATCH("CH4", GasMolecules!A:A, 0))</f>
        <v>-0.42994</v>
      </c>
    </row>
    <row r="24" customFormat="false" ht="15" hidden="false" customHeight="false" outlineLevel="0" collapsed="false">
      <c r="A24" s="2" t="s">
        <v>28</v>
      </c>
      <c r="B24" s="2" t="s">
        <v>22</v>
      </c>
      <c r="C24" s="2" t="n">
        <v>1</v>
      </c>
      <c r="D24" s="2" t="n">
        <v>3</v>
      </c>
      <c r="E24" s="2" t="n">
        <v>1</v>
      </c>
      <c r="F24" s="2" t="n">
        <v>0</v>
      </c>
      <c r="G24" s="4" t="n">
        <f aca="false">INDEX(Adsorbed!K:K, MATCH(1, (Adsorbed!A:A=A24)*(Adsorbed!D:D=B24), 0)) - INDEX(Adsorbed!K:K, MATCH(1, (Adsorbed!A:A=A24)*(Adsorbed!D:D="s0"), 0)) - C24*INDEX(GasMolecules!K:K, MATCH("CO2", GasMolecules!A:A, 0)) - D24*INDEX(GasMolecules!K:K, MATCH("H2",  GasMolecules!A:A, 0)) + E24*INDEX(GasMolecules!K:K, MATCH("H2O", GasMolecules!A:A, 0)) + F24*INDEX(GasMolecules!K:K, MATCH("CH4", GasMolecules!A:A, 0))</f>
        <v>-0.30831</v>
      </c>
      <c r="H24" s="4" t="n">
        <f aca="false">INDEX(Adsorbed!O:O, MATCH(1, (Adsorbed!A:A=A24)*(Adsorbed!D:D=B24), 0)) - INDEX(Adsorbed!O:O, MATCH(1, (Adsorbed!A:A=A24)*(Adsorbed!D:D="s0"), 0)) - C24*INDEX(GasMolecules!O:O, MATCH("CO2", GasMolecules!A:A, 0)) - D24*INDEX(GasMolecules!O:O, MATCH("H2",  GasMolecules!A:A, 0)) + E24*INDEX(GasMolecules!O:O, MATCH("H2O", GasMolecules!A:A, 0)) + F24*INDEX(GasMolecules!O:O, MATCH("CH4", GasMolecules!A:A, 0))</f>
        <v>-0.64491</v>
      </c>
    </row>
    <row r="25" customFormat="false" ht="15" hidden="false" customHeight="false" outlineLevel="0" collapsed="false">
      <c r="A25" s="2" t="s">
        <v>28</v>
      </c>
      <c r="B25" s="2" t="s">
        <v>23</v>
      </c>
      <c r="C25" s="2" t="n">
        <v>1</v>
      </c>
      <c r="D25" s="2" t="n">
        <v>4</v>
      </c>
      <c r="E25" s="2" t="n">
        <v>1</v>
      </c>
      <c r="F25" s="2" t="n">
        <v>1</v>
      </c>
      <c r="G25" s="4" t="n">
        <f aca="false">INDEX(Adsorbed!K:K, MATCH(1, (Adsorbed!A:A=A25)*(Adsorbed!D:D=B25), 0)) - INDEX(Adsorbed!K:K, MATCH(1, (Adsorbed!A:A=A25)*(Adsorbed!D:D="s0"), 0)) - C25*INDEX(GasMolecules!K:K, MATCH("CO2", GasMolecules!A:A, 0)) - D25*INDEX(GasMolecules!K:K, MATCH("H2",  GasMolecules!A:A, 0)) + E25*INDEX(GasMolecules!K:K, MATCH("H2O", GasMolecules!A:A, 0)) + F25*INDEX(GasMolecules!K:K, MATCH("CH4", GasMolecules!A:A, 0))</f>
        <v>-0.30831</v>
      </c>
      <c r="H25" s="4" t="n">
        <f aca="false">INDEX(Adsorbed!O:O, MATCH(1, (Adsorbed!A:A=A25)*(Adsorbed!D:D=B25), 0)) - INDEX(Adsorbed!O:O, MATCH(1, (Adsorbed!A:A=A25)*(Adsorbed!D:D="s0"), 0)) - C25*INDEX(GasMolecules!O:O, MATCH("CO2", GasMolecules!A:A, 0)) - D25*INDEX(GasMolecules!O:O, MATCH("H2",  GasMolecules!A:A, 0)) + E25*INDEX(GasMolecules!O:O, MATCH("H2O", GasMolecules!A:A, 0)) + F25*INDEX(GasMolecules!O:O, MATCH("CH4", GasMolecules!A:A, 0))</f>
        <v>-0.64491</v>
      </c>
    </row>
    <row r="26" customFormat="false" ht="15" hidden="false" customHeight="false" outlineLevel="0" collapsed="false">
      <c r="A26" s="2" t="s">
        <v>31</v>
      </c>
      <c r="B26" s="2" t="s">
        <v>18</v>
      </c>
      <c r="C26" s="2" t="n">
        <v>0</v>
      </c>
      <c r="D26" s="2" t="n">
        <v>0</v>
      </c>
      <c r="E26" s="2" t="n">
        <v>0</v>
      </c>
      <c r="F26" s="2" t="n">
        <v>0</v>
      </c>
      <c r="G26" s="4" t="n">
        <f aca="false">INDEX(Adsorbed!K:K, MATCH(1, (Adsorbed!A:A=A26)*(Adsorbed!D:D=B26), 0)) - INDEX(Adsorbed!K:K, MATCH(1, (Adsorbed!A:A=A26)*(Adsorbed!D:D="s0"), 0)) - C26*INDEX(GasMolecules!K:K, MATCH("CO2", GasMolecules!A:A, 0)) - D26*INDEX(GasMolecules!K:K, MATCH("H2",  GasMolecules!A:A, 0)) + E26*INDEX(GasMolecules!K:K, MATCH("H2O", GasMolecules!A:A, 0)) + F26*INDEX(GasMolecules!K:K, MATCH("CH4", GasMolecules!A:A, 0))</f>
        <v>0</v>
      </c>
      <c r="H26" s="4" t="n">
        <f aca="false">INDEX(Adsorbed!O:O, MATCH(1, (Adsorbed!A:A=A26)*(Adsorbed!D:D=B26), 0)) - INDEX(Adsorbed!O:O, MATCH(1, (Adsorbed!A:A=A26)*(Adsorbed!D:D="s0"), 0)) - C26*INDEX(GasMolecules!O:O, MATCH("CO2", GasMolecules!A:A, 0)) - D26*INDEX(GasMolecules!O:O, MATCH("H2",  GasMolecules!A:A, 0)) + E26*INDEX(GasMolecules!O:O, MATCH("H2O", GasMolecules!A:A, 0)) + F26*INDEX(GasMolecules!O:O, MATCH("CH4", GasMolecules!A:A, 0))</f>
        <v>0</v>
      </c>
    </row>
    <row r="27" customFormat="false" ht="15" hidden="false" customHeight="false" outlineLevel="0" collapsed="false">
      <c r="A27" s="2" t="s">
        <v>31</v>
      </c>
      <c r="B27" s="2" t="s">
        <v>19</v>
      </c>
      <c r="C27" s="2" t="n">
        <v>1</v>
      </c>
      <c r="D27" s="2" t="n">
        <v>0</v>
      </c>
      <c r="E27" s="2" t="n">
        <v>0</v>
      </c>
      <c r="F27" s="2" t="n">
        <v>0</v>
      </c>
      <c r="G27" s="4" t="n">
        <f aca="false">INDEX(Adsorbed!K:K, MATCH(1, (Adsorbed!A:A=A27)*(Adsorbed!D:D=B27), 0)) - INDEX(Adsorbed!K:K, MATCH(1, (Adsorbed!A:A=A27)*(Adsorbed!D:D="s0"), 0)) - C27*INDEX(GasMolecules!K:K, MATCH("CO2", GasMolecules!A:A, 0)) - D27*INDEX(GasMolecules!K:K, MATCH("H2",  GasMolecules!A:A, 0)) + E27*INDEX(GasMolecules!K:K, MATCH("H2O", GasMolecules!A:A, 0)) + F27*INDEX(GasMolecules!K:K, MATCH("CH4", GasMolecules!A:A, 0))</f>
        <v>-0.10277</v>
      </c>
      <c r="H27" s="4" t="n">
        <f aca="false">INDEX(Adsorbed!O:O, MATCH(1, (Adsorbed!A:A=A27)*(Adsorbed!D:D=B27), 0)) - INDEX(Adsorbed!O:O, MATCH(1, (Adsorbed!A:A=A27)*(Adsorbed!D:D="s0"), 0)) - C27*INDEX(GasMolecules!O:O, MATCH("CO2", GasMolecules!A:A, 0)) - D27*INDEX(GasMolecules!O:O, MATCH("H2",  GasMolecules!A:A, 0)) + E27*INDEX(GasMolecules!O:O, MATCH("H2O", GasMolecules!A:A, 0)) + F27*INDEX(GasMolecules!O:O, MATCH("CH4", GasMolecules!A:A, 0))</f>
        <v>-0.21497</v>
      </c>
    </row>
    <row r="28" customFormat="false" ht="15" hidden="false" customHeight="false" outlineLevel="0" collapsed="false">
      <c r="A28" s="2" t="s">
        <v>31</v>
      </c>
      <c r="B28" s="2" t="s">
        <v>20</v>
      </c>
      <c r="C28" s="2" t="n">
        <v>1</v>
      </c>
      <c r="D28" s="2" t="n">
        <v>1</v>
      </c>
      <c r="E28" s="2" t="n">
        <v>0</v>
      </c>
      <c r="F28" s="2" t="n">
        <v>0</v>
      </c>
      <c r="G28" s="4" t="n">
        <f aca="false">INDEX(Adsorbed!K:K, MATCH(1, (Adsorbed!A:A=A28)*(Adsorbed!D:D=B28), 0)) - INDEX(Adsorbed!K:K, MATCH(1, (Adsorbed!A:A=A28)*(Adsorbed!D:D="s0"), 0)) - C28*INDEX(GasMolecules!K:K, MATCH("CO2", GasMolecules!A:A, 0)) - D28*INDEX(GasMolecules!K:K, MATCH("H2",  GasMolecules!A:A, 0)) + E28*INDEX(GasMolecules!K:K, MATCH("H2O", GasMolecules!A:A, 0)) + F28*INDEX(GasMolecules!K:K, MATCH("CH4", GasMolecules!A:A, 0))</f>
        <v>-0.20554</v>
      </c>
      <c r="H28" s="4" t="n">
        <f aca="false">INDEX(Adsorbed!O:O, MATCH(1, (Adsorbed!A:A=A28)*(Adsorbed!D:D=B28), 0)) - INDEX(Adsorbed!O:O, MATCH(1, (Adsorbed!A:A=A28)*(Adsorbed!D:D="s0"), 0)) - C28*INDEX(GasMolecules!O:O, MATCH("CO2", GasMolecules!A:A, 0)) - D28*INDEX(GasMolecules!O:O, MATCH("H2",  GasMolecules!A:A, 0)) + E28*INDEX(GasMolecules!O:O, MATCH("H2O", GasMolecules!A:A, 0)) + F28*INDEX(GasMolecules!O:O, MATCH("CH4", GasMolecules!A:A, 0))</f>
        <v>-0.42994</v>
      </c>
    </row>
    <row r="29" customFormat="false" ht="15" hidden="false" customHeight="false" outlineLevel="0" collapsed="false">
      <c r="A29" s="2" t="s">
        <v>31</v>
      </c>
      <c r="B29" s="2" t="s">
        <v>21</v>
      </c>
      <c r="C29" s="2" t="n">
        <v>1</v>
      </c>
      <c r="D29" s="2" t="n">
        <v>2</v>
      </c>
      <c r="E29" s="2" t="n">
        <v>1</v>
      </c>
      <c r="F29" s="2" t="n">
        <v>0</v>
      </c>
      <c r="G29" s="4" t="n">
        <f aca="false">INDEX(Adsorbed!K:K, MATCH(1, (Adsorbed!A:A=A29)*(Adsorbed!D:D=B29), 0)) - INDEX(Adsorbed!K:K, MATCH(1, (Adsorbed!A:A=A29)*(Adsorbed!D:D="s0"), 0)) - C29*INDEX(GasMolecules!K:K, MATCH("CO2", GasMolecules!A:A, 0)) - D29*INDEX(GasMolecules!K:K, MATCH("H2",  GasMolecules!A:A, 0)) + E29*INDEX(GasMolecules!K:K, MATCH("H2O", GasMolecules!A:A, 0)) + F29*INDEX(GasMolecules!K:K, MATCH("CH4", GasMolecules!A:A, 0))</f>
        <v>-0.20554</v>
      </c>
      <c r="H29" s="4" t="n">
        <f aca="false">INDEX(Adsorbed!O:O, MATCH(1, (Adsorbed!A:A=A29)*(Adsorbed!D:D=B29), 0)) - INDEX(Adsorbed!O:O, MATCH(1, (Adsorbed!A:A=A29)*(Adsorbed!D:D="s0"), 0)) - C29*INDEX(GasMolecules!O:O, MATCH("CO2", GasMolecules!A:A, 0)) - D29*INDEX(GasMolecules!O:O, MATCH("H2",  GasMolecules!A:A, 0)) + E29*INDEX(GasMolecules!O:O, MATCH("H2O", GasMolecules!A:A, 0)) + F29*INDEX(GasMolecules!O:O, MATCH("CH4", GasMolecules!A:A, 0))</f>
        <v>-0.42994</v>
      </c>
    </row>
    <row r="30" customFormat="false" ht="15" hidden="false" customHeight="false" outlineLevel="0" collapsed="false">
      <c r="A30" s="2" t="s">
        <v>31</v>
      </c>
      <c r="B30" s="2" t="s">
        <v>22</v>
      </c>
      <c r="C30" s="2" t="n">
        <v>1</v>
      </c>
      <c r="D30" s="2" t="n">
        <v>3</v>
      </c>
      <c r="E30" s="2" t="n">
        <v>1</v>
      </c>
      <c r="F30" s="2" t="n">
        <v>0</v>
      </c>
      <c r="G30" s="4" t="n">
        <f aca="false">INDEX(Adsorbed!K:K, MATCH(1, (Adsorbed!A:A=A30)*(Adsorbed!D:D=B30), 0)) - INDEX(Adsorbed!K:K, MATCH(1, (Adsorbed!A:A=A30)*(Adsorbed!D:D="s0"), 0)) - C30*INDEX(GasMolecules!K:K, MATCH("CO2", GasMolecules!A:A, 0)) - D30*INDEX(GasMolecules!K:K, MATCH("H2",  GasMolecules!A:A, 0)) + E30*INDEX(GasMolecules!K:K, MATCH("H2O", GasMolecules!A:A, 0)) + F30*INDEX(GasMolecules!K:K, MATCH("CH4", GasMolecules!A:A, 0))</f>
        <v>-0.30831</v>
      </c>
      <c r="H30" s="4" t="n">
        <f aca="false">INDEX(Adsorbed!O:O, MATCH(1, (Adsorbed!A:A=A30)*(Adsorbed!D:D=B30), 0)) - INDEX(Adsorbed!O:O, MATCH(1, (Adsorbed!A:A=A30)*(Adsorbed!D:D="s0"), 0)) - C30*INDEX(GasMolecules!O:O, MATCH("CO2", GasMolecules!A:A, 0)) - D30*INDEX(GasMolecules!O:O, MATCH("H2",  GasMolecules!A:A, 0)) + E30*INDEX(GasMolecules!O:O, MATCH("H2O", GasMolecules!A:A, 0)) + F30*INDEX(GasMolecules!O:O, MATCH("CH4", GasMolecules!A:A, 0))</f>
        <v>-0.64491</v>
      </c>
    </row>
    <row r="31" customFormat="false" ht="15" hidden="false" customHeight="false" outlineLevel="0" collapsed="false">
      <c r="A31" s="2" t="s">
        <v>31</v>
      </c>
      <c r="B31" s="2" t="s">
        <v>23</v>
      </c>
      <c r="C31" s="2" t="n">
        <v>1</v>
      </c>
      <c r="D31" s="2" t="n">
        <v>4</v>
      </c>
      <c r="E31" s="2" t="n">
        <v>1</v>
      </c>
      <c r="F31" s="2" t="n">
        <v>1</v>
      </c>
      <c r="G31" s="4" t="n">
        <f aca="false">INDEX(Adsorbed!K:K, MATCH(1, (Adsorbed!A:A=A31)*(Adsorbed!D:D=B31), 0)) - INDEX(Adsorbed!K:K, MATCH(1, (Adsorbed!A:A=A31)*(Adsorbed!D:D="s0"), 0)) - C31*INDEX(GasMolecules!K:K, MATCH("CO2", GasMolecules!A:A, 0)) - D31*INDEX(GasMolecules!K:K, MATCH("H2",  GasMolecules!A:A, 0)) + E31*INDEX(GasMolecules!K:K, MATCH("H2O", GasMolecules!A:A, 0)) + F31*INDEX(GasMolecules!K:K, MATCH("CH4", GasMolecules!A:A, 0))</f>
        <v>-0.30831</v>
      </c>
      <c r="H31" s="4" t="n">
        <f aca="false">INDEX(Adsorbed!O:O, MATCH(1, (Adsorbed!A:A=A31)*(Adsorbed!D:D=B31), 0)) - INDEX(Adsorbed!O:O, MATCH(1, (Adsorbed!A:A=A31)*(Adsorbed!D:D="s0"), 0)) - C31*INDEX(GasMolecules!O:O, MATCH("CO2", GasMolecules!A:A, 0)) - D31*INDEX(GasMolecules!O:O, MATCH("H2",  GasMolecules!A:A, 0)) + E31*INDEX(GasMolecules!O:O, MATCH("H2O", GasMolecules!A:A, 0)) + F31*INDEX(GasMolecules!O:O, MATCH("CH4", GasMolecules!A:A, 0))</f>
        <v>-0.64491</v>
      </c>
    </row>
    <row r="32" customFormat="false" ht="15" hidden="false" customHeight="false" outlineLevel="0" collapsed="false">
      <c r="A32" s="2" t="s">
        <v>33</v>
      </c>
      <c r="B32" s="2" t="s">
        <v>18</v>
      </c>
      <c r="C32" s="2" t="n">
        <v>0</v>
      </c>
      <c r="D32" s="2" t="n">
        <v>0</v>
      </c>
      <c r="E32" s="2" t="n">
        <v>0</v>
      </c>
      <c r="F32" s="2" t="n">
        <v>0</v>
      </c>
      <c r="G32" s="4" t="n">
        <f aca="false">INDEX(Adsorbed!K:K, MATCH(1, (Adsorbed!A:A=A32)*(Adsorbed!D:D=B32), 0)) - INDEX(Adsorbed!K:K, MATCH(1, (Adsorbed!A:A=A32)*(Adsorbed!D:D="s0"), 0)) - C32*INDEX(GasMolecules!K:K, MATCH("CO2", GasMolecules!A:A, 0)) - D32*INDEX(GasMolecules!K:K, MATCH("H2",  GasMolecules!A:A, 0)) + E32*INDEX(GasMolecules!K:K, MATCH("H2O", GasMolecules!A:A, 0)) + F32*INDEX(GasMolecules!K:K, MATCH("CH4", GasMolecules!A:A, 0))</f>
        <v>0</v>
      </c>
      <c r="H32" s="4" t="n">
        <f aca="false">INDEX(Adsorbed!O:O, MATCH(1, (Adsorbed!A:A=A32)*(Adsorbed!D:D=B32), 0)) - INDEX(Adsorbed!O:O, MATCH(1, (Adsorbed!A:A=A32)*(Adsorbed!D:D="s0"), 0)) - C32*INDEX(GasMolecules!O:O, MATCH("CO2", GasMolecules!A:A, 0)) - D32*INDEX(GasMolecules!O:O, MATCH("H2",  GasMolecules!A:A, 0)) + E32*INDEX(GasMolecules!O:O, MATCH("H2O", GasMolecules!A:A, 0)) + F32*INDEX(GasMolecules!O:O, MATCH("CH4", GasMolecules!A:A, 0))</f>
        <v>0</v>
      </c>
    </row>
    <row r="33" customFormat="false" ht="15" hidden="false" customHeight="false" outlineLevel="0" collapsed="false">
      <c r="A33" s="2" t="s">
        <v>33</v>
      </c>
      <c r="B33" s="2" t="s">
        <v>19</v>
      </c>
      <c r="C33" s="2" t="n">
        <v>1</v>
      </c>
      <c r="D33" s="2" t="n">
        <v>0</v>
      </c>
      <c r="E33" s="2" t="n">
        <v>0</v>
      </c>
      <c r="F33" s="2" t="n">
        <v>0</v>
      </c>
      <c r="G33" s="4" t="n">
        <f aca="false">INDEX(Adsorbed!K:K, MATCH(1, (Adsorbed!A:A=A33)*(Adsorbed!D:D=B33), 0)) - INDEX(Adsorbed!K:K, MATCH(1, (Adsorbed!A:A=A33)*(Adsorbed!D:D="s0"), 0)) - C33*INDEX(GasMolecules!K:K, MATCH("CO2", GasMolecules!A:A, 0)) - D33*INDEX(GasMolecules!K:K, MATCH("H2",  GasMolecules!A:A, 0)) + E33*INDEX(GasMolecules!K:K, MATCH("H2O", GasMolecules!A:A, 0)) + F33*INDEX(GasMolecules!K:K, MATCH("CH4", GasMolecules!A:A, 0))</f>
        <v>-0.10277</v>
      </c>
      <c r="H33" s="4" t="n">
        <f aca="false">INDEX(Adsorbed!O:O, MATCH(1, (Adsorbed!A:A=A33)*(Adsorbed!D:D=B33), 0)) - INDEX(Adsorbed!O:O, MATCH(1, (Adsorbed!A:A=A33)*(Adsorbed!D:D="s0"), 0)) - C33*INDEX(GasMolecules!O:O, MATCH("CO2", GasMolecules!A:A, 0)) - D33*INDEX(GasMolecules!O:O, MATCH("H2",  GasMolecules!A:A, 0)) + E33*INDEX(GasMolecules!O:O, MATCH("H2O", GasMolecules!A:A, 0)) + F33*INDEX(GasMolecules!O:O, MATCH("CH4", GasMolecules!A:A, 0))</f>
        <v>-0.21497</v>
      </c>
    </row>
    <row r="34" customFormat="false" ht="15" hidden="false" customHeight="false" outlineLevel="0" collapsed="false">
      <c r="A34" s="2" t="s">
        <v>33</v>
      </c>
      <c r="B34" s="2" t="s">
        <v>20</v>
      </c>
      <c r="C34" s="2" t="n">
        <v>1</v>
      </c>
      <c r="D34" s="2" t="n">
        <v>1</v>
      </c>
      <c r="E34" s="2" t="n">
        <v>0</v>
      </c>
      <c r="F34" s="2" t="n">
        <v>0</v>
      </c>
      <c r="G34" s="4" t="n">
        <f aca="false">INDEX(Adsorbed!K:K, MATCH(1, (Adsorbed!A:A=A34)*(Adsorbed!D:D=B34), 0)) - INDEX(Adsorbed!K:K, MATCH(1, (Adsorbed!A:A=A34)*(Adsorbed!D:D="s0"), 0)) - C34*INDEX(GasMolecules!K:K, MATCH("CO2", GasMolecules!A:A, 0)) - D34*INDEX(GasMolecules!K:K, MATCH("H2",  GasMolecules!A:A, 0)) + E34*INDEX(GasMolecules!K:K, MATCH("H2O", GasMolecules!A:A, 0)) + F34*INDEX(GasMolecules!K:K, MATCH("CH4", GasMolecules!A:A, 0))</f>
        <v>-0.20554</v>
      </c>
      <c r="H34" s="4" t="n">
        <f aca="false">INDEX(Adsorbed!O:O, MATCH(1, (Adsorbed!A:A=A34)*(Adsorbed!D:D=B34), 0)) - INDEX(Adsorbed!O:O, MATCH(1, (Adsorbed!A:A=A34)*(Adsorbed!D:D="s0"), 0)) - C34*INDEX(GasMolecules!O:O, MATCH("CO2", GasMolecules!A:A, 0)) - D34*INDEX(GasMolecules!O:O, MATCH("H2",  GasMolecules!A:A, 0)) + E34*INDEX(GasMolecules!O:O, MATCH("H2O", GasMolecules!A:A, 0)) + F34*INDEX(GasMolecules!O:O, MATCH("CH4", GasMolecules!A:A, 0))</f>
        <v>-0.42994</v>
      </c>
    </row>
    <row r="35" customFormat="false" ht="15" hidden="false" customHeight="false" outlineLevel="0" collapsed="false">
      <c r="A35" s="2" t="s">
        <v>33</v>
      </c>
      <c r="B35" s="2" t="s">
        <v>21</v>
      </c>
      <c r="C35" s="2" t="n">
        <v>1</v>
      </c>
      <c r="D35" s="2" t="n">
        <v>2</v>
      </c>
      <c r="E35" s="2" t="n">
        <v>1</v>
      </c>
      <c r="F35" s="2" t="n">
        <v>0</v>
      </c>
      <c r="G35" s="4" t="n">
        <f aca="false">INDEX(Adsorbed!K:K, MATCH(1, (Adsorbed!A:A=A35)*(Adsorbed!D:D=B35), 0)) - INDEX(Adsorbed!K:K, MATCH(1, (Adsorbed!A:A=A35)*(Adsorbed!D:D="s0"), 0)) - C35*INDEX(GasMolecules!K:K, MATCH("CO2", GasMolecules!A:A, 0)) - D35*INDEX(GasMolecules!K:K, MATCH("H2",  GasMolecules!A:A, 0)) + E35*INDEX(GasMolecules!K:K, MATCH("H2O", GasMolecules!A:A, 0)) + F35*INDEX(GasMolecules!K:K, MATCH("CH4", GasMolecules!A:A, 0))</f>
        <v>-0.20554</v>
      </c>
      <c r="H35" s="4" t="n">
        <f aca="false">INDEX(Adsorbed!O:O, MATCH(1, (Adsorbed!A:A=A35)*(Adsorbed!D:D=B35), 0)) - INDEX(Adsorbed!O:O, MATCH(1, (Adsorbed!A:A=A35)*(Adsorbed!D:D="s0"), 0)) - C35*INDEX(GasMolecules!O:O, MATCH("CO2", GasMolecules!A:A, 0)) - D35*INDEX(GasMolecules!O:O, MATCH("H2",  GasMolecules!A:A, 0)) + E35*INDEX(GasMolecules!O:O, MATCH("H2O", GasMolecules!A:A, 0)) + F35*INDEX(GasMolecules!O:O, MATCH("CH4", GasMolecules!A:A, 0))</f>
        <v>-0.42994</v>
      </c>
    </row>
    <row r="36" customFormat="false" ht="15" hidden="false" customHeight="false" outlineLevel="0" collapsed="false">
      <c r="A36" s="2" t="s">
        <v>33</v>
      </c>
      <c r="B36" s="2" t="s">
        <v>22</v>
      </c>
      <c r="C36" s="2" t="n">
        <v>1</v>
      </c>
      <c r="D36" s="2" t="n">
        <v>3</v>
      </c>
      <c r="E36" s="2" t="n">
        <v>1</v>
      </c>
      <c r="F36" s="2" t="n">
        <v>0</v>
      </c>
      <c r="G36" s="4" t="n">
        <f aca="false">INDEX(Adsorbed!K:K, MATCH(1, (Adsorbed!A:A=A36)*(Adsorbed!D:D=B36), 0)) - INDEX(Adsorbed!K:K, MATCH(1, (Adsorbed!A:A=A36)*(Adsorbed!D:D="s0"), 0)) - C36*INDEX(GasMolecules!K:K, MATCH("CO2", GasMolecules!A:A, 0)) - D36*INDEX(GasMolecules!K:K, MATCH("H2",  GasMolecules!A:A, 0)) + E36*INDEX(GasMolecules!K:K, MATCH("H2O", GasMolecules!A:A, 0)) + F36*INDEX(GasMolecules!K:K, MATCH("CH4", GasMolecules!A:A, 0))</f>
        <v>-0.30831</v>
      </c>
      <c r="H36" s="4" t="n">
        <f aca="false">INDEX(Adsorbed!O:O, MATCH(1, (Adsorbed!A:A=A36)*(Adsorbed!D:D=B36), 0)) - INDEX(Adsorbed!O:O, MATCH(1, (Adsorbed!A:A=A36)*(Adsorbed!D:D="s0"), 0)) - C36*INDEX(GasMolecules!O:O, MATCH("CO2", GasMolecules!A:A, 0)) - D36*INDEX(GasMolecules!O:O, MATCH("H2",  GasMolecules!A:A, 0)) + E36*INDEX(GasMolecules!O:O, MATCH("H2O", GasMolecules!A:A, 0)) + F36*INDEX(GasMolecules!O:O, MATCH("CH4", GasMolecules!A:A, 0))</f>
        <v>-0.64491</v>
      </c>
    </row>
    <row r="37" customFormat="false" ht="15" hidden="false" customHeight="false" outlineLevel="0" collapsed="false">
      <c r="A37" s="2" t="s">
        <v>33</v>
      </c>
      <c r="B37" s="2" t="s">
        <v>23</v>
      </c>
      <c r="C37" s="2" t="n">
        <v>1</v>
      </c>
      <c r="D37" s="2" t="n">
        <v>4</v>
      </c>
      <c r="E37" s="2" t="n">
        <v>1</v>
      </c>
      <c r="F37" s="2" t="n">
        <v>1</v>
      </c>
      <c r="G37" s="4" t="n">
        <f aca="false">INDEX(Adsorbed!K:K, MATCH(1, (Adsorbed!A:A=A37)*(Adsorbed!D:D=B37), 0)) - INDEX(Adsorbed!K:K, MATCH(1, (Adsorbed!A:A=A37)*(Adsorbed!D:D="s0"), 0)) - C37*INDEX(GasMolecules!K:K, MATCH("CO2", GasMolecules!A:A, 0)) - D37*INDEX(GasMolecules!K:K, MATCH("H2",  GasMolecules!A:A, 0)) + E37*INDEX(GasMolecules!K:K, MATCH("H2O", GasMolecules!A:A, 0)) + F37*INDEX(GasMolecules!K:K, MATCH("CH4", GasMolecules!A:A, 0))</f>
        <v>-0.30831</v>
      </c>
      <c r="H37" s="4" t="n">
        <f aca="false">INDEX(Adsorbed!O:O, MATCH(1, (Adsorbed!A:A=A37)*(Adsorbed!D:D=B37), 0)) - INDEX(Adsorbed!O:O, MATCH(1, (Adsorbed!A:A=A37)*(Adsorbed!D:D="s0"), 0)) - C37*INDEX(GasMolecules!O:O, MATCH("CO2", GasMolecules!A:A, 0)) - D37*INDEX(GasMolecules!O:O, MATCH("H2",  GasMolecules!A:A, 0)) + E37*INDEX(GasMolecules!O:O, MATCH("H2O", GasMolecules!A:A, 0)) + F37*INDEX(GasMolecules!O:O, MATCH("CH4", GasMolecules!A:A, 0))</f>
        <v>-0.64491</v>
      </c>
    </row>
    <row r="38" customFormat="false" ht="15" hidden="false" customHeight="false" outlineLevel="0" collapsed="false">
      <c r="A38" s="2" t="s">
        <v>34</v>
      </c>
      <c r="B38" s="2" t="s">
        <v>18</v>
      </c>
      <c r="C38" s="2" t="n">
        <v>0</v>
      </c>
      <c r="D38" s="2" t="n">
        <v>0</v>
      </c>
      <c r="E38" s="2" t="n">
        <v>0</v>
      </c>
      <c r="F38" s="2" t="n">
        <v>0</v>
      </c>
      <c r="G38" s="4" t="n">
        <f aca="false">INDEX(Adsorbed!K:K, MATCH(1, (Adsorbed!A:A=A38)*(Adsorbed!D:D=B38), 0)) - INDEX(Adsorbed!K:K, MATCH(1, (Adsorbed!A:A=A38)*(Adsorbed!D:D="s0"), 0)) - C38*INDEX(GasMolecules!K:K, MATCH("CO2", GasMolecules!A:A, 0)) - D38*INDEX(GasMolecules!K:K, MATCH("H2",  GasMolecules!A:A, 0)) + E38*INDEX(GasMolecules!K:K, MATCH("H2O", GasMolecules!A:A, 0)) + F38*INDEX(GasMolecules!K:K, MATCH("CH4", GasMolecules!A:A, 0))</f>
        <v>0</v>
      </c>
      <c r="H38" s="4" t="n">
        <f aca="false">INDEX(Adsorbed!O:O, MATCH(1, (Adsorbed!A:A=A38)*(Adsorbed!D:D=B38), 0)) - INDEX(Adsorbed!O:O, MATCH(1, (Adsorbed!A:A=A38)*(Adsorbed!D:D="s0"), 0)) - C38*INDEX(GasMolecules!O:O, MATCH("CO2", GasMolecules!A:A, 0)) - D38*INDEX(GasMolecules!O:O, MATCH("H2",  GasMolecules!A:A, 0)) + E38*INDEX(GasMolecules!O:O, MATCH("H2O", GasMolecules!A:A, 0)) + F38*INDEX(GasMolecules!O:O, MATCH("CH4", GasMolecules!A:A, 0))</f>
        <v>0</v>
      </c>
    </row>
    <row r="39" customFormat="false" ht="15" hidden="false" customHeight="false" outlineLevel="0" collapsed="false">
      <c r="A39" s="2" t="s">
        <v>34</v>
      </c>
      <c r="B39" s="2" t="s">
        <v>19</v>
      </c>
      <c r="C39" s="2" t="n">
        <v>1</v>
      </c>
      <c r="D39" s="2" t="n">
        <v>0</v>
      </c>
      <c r="E39" s="2" t="n">
        <v>0</v>
      </c>
      <c r="F39" s="2" t="n">
        <v>0</v>
      </c>
      <c r="G39" s="4" t="n">
        <f aca="false">INDEX(Adsorbed!K:K, MATCH(1, (Adsorbed!A:A=A39)*(Adsorbed!D:D=B39), 0)) - INDEX(Adsorbed!K:K, MATCH(1, (Adsorbed!A:A=A39)*(Adsorbed!D:D="s0"), 0)) - C39*INDEX(GasMolecules!K:K, MATCH("CO2", GasMolecules!A:A, 0)) - D39*INDEX(GasMolecules!K:K, MATCH("H2",  GasMolecules!A:A, 0)) + E39*INDEX(GasMolecules!K:K, MATCH("H2O", GasMolecules!A:A, 0)) + F39*INDEX(GasMolecules!K:K, MATCH("CH4", GasMolecules!A:A, 0))</f>
        <v>-0.10277</v>
      </c>
      <c r="H39" s="4" t="n">
        <f aca="false">INDEX(Adsorbed!O:O, MATCH(1, (Adsorbed!A:A=A39)*(Adsorbed!D:D=B39), 0)) - INDEX(Adsorbed!O:O, MATCH(1, (Adsorbed!A:A=A39)*(Adsorbed!D:D="s0"), 0)) - C39*INDEX(GasMolecules!O:O, MATCH("CO2", GasMolecules!A:A, 0)) - D39*INDEX(GasMolecules!O:O, MATCH("H2",  GasMolecules!A:A, 0)) + E39*INDEX(GasMolecules!O:O, MATCH("H2O", GasMolecules!A:A, 0)) + F39*INDEX(GasMolecules!O:O, MATCH("CH4", GasMolecules!A:A, 0))</f>
        <v>-0.21497</v>
      </c>
    </row>
    <row r="40" customFormat="false" ht="15" hidden="false" customHeight="false" outlineLevel="0" collapsed="false">
      <c r="A40" s="2" t="s">
        <v>34</v>
      </c>
      <c r="B40" s="2" t="s">
        <v>20</v>
      </c>
      <c r="C40" s="2" t="n">
        <v>1</v>
      </c>
      <c r="D40" s="2" t="n">
        <v>1</v>
      </c>
      <c r="E40" s="2" t="n">
        <v>0</v>
      </c>
      <c r="F40" s="2" t="n">
        <v>0</v>
      </c>
      <c r="G40" s="4" t="n">
        <f aca="false">INDEX(Adsorbed!K:K, MATCH(1, (Adsorbed!A:A=A40)*(Adsorbed!D:D=B40), 0)) - INDEX(Adsorbed!K:K, MATCH(1, (Adsorbed!A:A=A40)*(Adsorbed!D:D="s0"), 0)) - C40*INDEX(GasMolecules!K:K, MATCH("CO2", GasMolecules!A:A, 0)) - D40*INDEX(GasMolecules!K:K, MATCH("H2",  GasMolecules!A:A, 0)) + E40*INDEX(GasMolecules!K:K, MATCH("H2O", GasMolecules!A:A, 0)) + F40*INDEX(GasMolecules!K:K, MATCH("CH4", GasMolecules!A:A, 0))</f>
        <v>-0.20554</v>
      </c>
      <c r="H40" s="4" t="n">
        <f aca="false">INDEX(Adsorbed!O:O, MATCH(1, (Adsorbed!A:A=A40)*(Adsorbed!D:D=B40), 0)) - INDEX(Adsorbed!O:O, MATCH(1, (Adsorbed!A:A=A40)*(Adsorbed!D:D="s0"), 0)) - C40*INDEX(GasMolecules!O:O, MATCH("CO2", GasMolecules!A:A, 0)) - D40*INDEX(GasMolecules!O:O, MATCH("H2",  GasMolecules!A:A, 0)) + E40*INDEX(GasMolecules!O:O, MATCH("H2O", GasMolecules!A:A, 0)) + F40*INDEX(GasMolecules!O:O, MATCH("CH4", GasMolecules!A:A, 0))</f>
        <v>-0.42994</v>
      </c>
    </row>
    <row r="41" customFormat="false" ht="15" hidden="false" customHeight="false" outlineLevel="0" collapsed="false">
      <c r="A41" s="2" t="s">
        <v>34</v>
      </c>
      <c r="B41" s="2" t="s">
        <v>21</v>
      </c>
      <c r="C41" s="2" t="n">
        <v>1</v>
      </c>
      <c r="D41" s="2" t="n">
        <v>2</v>
      </c>
      <c r="E41" s="2" t="n">
        <v>1</v>
      </c>
      <c r="F41" s="2" t="n">
        <v>0</v>
      </c>
      <c r="G41" s="4" t="n">
        <f aca="false">INDEX(Adsorbed!K:K, MATCH(1, (Adsorbed!A:A=A41)*(Adsorbed!D:D=B41), 0)) - INDEX(Adsorbed!K:K, MATCH(1, (Adsorbed!A:A=A41)*(Adsorbed!D:D="s0"), 0)) - C41*INDEX(GasMolecules!K:K, MATCH("CO2", GasMolecules!A:A, 0)) - D41*INDEX(GasMolecules!K:K, MATCH("H2",  GasMolecules!A:A, 0)) + E41*INDEX(GasMolecules!K:K, MATCH("H2O", GasMolecules!A:A, 0)) + F41*INDEX(GasMolecules!K:K, MATCH("CH4", GasMolecules!A:A, 0))</f>
        <v>-0.20554</v>
      </c>
      <c r="H41" s="4" t="n">
        <f aca="false">INDEX(Adsorbed!O:O, MATCH(1, (Adsorbed!A:A=A41)*(Adsorbed!D:D=B41), 0)) - INDEX(Adsorbed!O:O, MATCH(1, (Adsorbed!A:A=A41)*(Adsorbed!D:D="s0"), 0)) - C41*INDEX(GasMolecules!O:O, MATCH("CO2", GasMolecules!A:A, 0)) - D41*INDEX(GasMolecules!O:O, MATCH("H2",  GasMolecules!A:A, 0)) + E41*INDEX(GasMolecules!O:O, MATCH("H2O", GasMolecules!A:A, 0)) + F41*INDEX(GasMolecules!O:O, MATCH("CH4", GasMolecules!A:A, 0))</f>
        <v>-0.42994</v>
      </c>
    </row>
    <row r="42" customFormat="false" ht="15" hidden="false" customHeight="false" outlineLevel="0" collapsed="false">
      <c r="A42" s="2" t="s">
        <v>34</v>
      </c>
      <c r="B42" s="2" t="s">
        <v>22</v>
      </c>
      <c r="C42" s="2" t="n">
        <v>1</v>
      </c>
      <c r="D42" s="2" t="n">
        <v>3</v>
      </c>
      <c r="E42" s="2" t="n">
        <v>1</v>
      </c>
      <c r="F42" s="2" t="n">
        <v>0</v>
      </c>
      <c r="G42" s="4" t="n">
        <f aca="false">INDEX(Adsorbed!K:K, MATCH(1, (Adsorbed!A:A=A42)*(Adsorbed!D:D=B42), 0)) - INDEX(Adsorbed!K:K, MATCH(1, (Adsorbed!A:A=A42)*(Adsorbed!D:D="s0"), 0)) - C42*INDEX(GasMolecules!K:K, MATCH("CO2", GasMolecules!A:A, 0)) - D42*INDEX(GasMolecules!K:K, MATCH("H2",  GasMolecules!A:A, 0)) + E42*INDEX(GasMolecules!K:K, MATCH("H2O", GasMolecules!A:A, 0)) + F42*INDEX(GasMolecules!K:K, MATCH("CH4", GasMolecules!A:A, 0))</f>
        <v>-0.30831</v>
      </c>
      <c r="H42" s="4" t="n">
        <f aca="false">INDEX(Adsorbed!O:O, MATCH(1, (Adsorbed!A:A=A42)*(Adsorbed!D:D=B42), 0)) - INDEX(Adsorbed!O:O, MATCH(1, (Adsorbed!A:A=A42)*(Adsorbed!D:D="s0"), 0)) - C42*INDEX(GasMolecules!O:O, MATCH("CO2", GasMolecules!A:A, 0)) - D42*INDEX(GasMolecules!O:O, MATCH("H2",  GasMolecules!A:A, 0)) + E42*INDEX(GasMolecules!O:O, MATCH("H2O", GasMolecules!A:A, 0)) + F42*INDEX(GasMolecules!O:O, MATCH("CH4", GasMolecules!A:A, 0))</f>
        <v>-0.64491</v>
      </c>
    </row>
    <row r="43" customFormat="false" ht="15" hidden="false" customHeight="false" outlineLevel="0" collapsed="false">
      <c r="A43" s="2" t="s">
        <v>34</v>
      </c>
      <c r="B43" s="2" t="s">
        <v>23</v>
      </c>
      <c r="C43" s="2" t="n">
        <v>1</v>
      </c>
      <c r="D43" s="2" t="n">
        <v>4</v>
      </c>
      <c r="E43" s="2" t="n">
        <v>1</v>
      </c>
      <c r="F43" s="2" t="n">
        <v>1</v>
      </c>
      <c r="G43" s="4" t="n">
        <f aca="false">INDEX(Adsorbed!K:K, MATCH(1, (Adsorbed!A:A=A43)*(Adsorbed!D:D=B43), 0)) - INDEX(Adsorbed!K:K, MATCH(1, (Adsorbed!A:A=A43)*(Adsorbed!D:D="s0"), 0)) - C43*INDEX(GasMolecules!K:K, MATCH("CO2", GasMolecules!A:A, 0)) - D43*INDEX(GasMolecules!K:K, MATCH("H2",  GasMolecules!A:A, 0)) + E43*INDEX(GasMolecules!K:K, MATCH("H2O", GasMolecules!A:A, 0)) + F43*INDEX(GasMolecules!K:K, MATCH("CH4", GasMolecules!A:A, 0))</f>
        <v>-0.30831</v>
      </c>
      <c r="H43" s="4" t="n">
        <f aca="false">INDEX(Adsorbed!O:O, MATCH(1, (Adsorbed!A:A=A43)*(Adsorbed!D:D=B43), 0)) - INDEX(Adsorbed!O:O, MATCH(1, (Adsorbed!A:A=A43)*(Adsorbed!D:D="s0"), 0)) - C43*INDEX(GasMolecules!O:O, MATCH("CO2", GasMolecules!A:A, 0)) - D43*INDEX(GasMolecules!O:O, MATCH("H2",  GasMolecules!A:A, 0)) + E43*INDEX(GasMolecules!O:O, MATCH("H2O", GasMolecules!A:A, 0)) + F43*INDEX(GasMolecules!O:O, MATCH("CH4", GasMolecules!A:A, 0))</f>
        <v>-0.64491</v>
      </c>
    </row>
    <row r="44" customFormat="false" ht="15" hidden="false" customHeight="false" outlineLevel="0" collapsed="false">
      <c r="A44" s="2" t="s">
        <v>36</v>
      </c>
      <c r="B44" s="2" t="s">
        <v>18</v>
      </c>
      <c r="C44" s="2" t="n">
        <v>0</v>
      </c>
      <c r="D44" s="2" t="n">
        <v>0</v>
      </c>
      <c r="E44" s="2" t="n">
        <v>0</v>
      </c>
      <c r="F44" s="2" t="n">
        <v>0</v>
      </c>
      <c r="G44" s="4" t="n">
        <f aca="false">INDEX(Adsorbed!K:K, MATCH(1, (Adsorbed!A:A=A44)*(Adsorbed!D:D=B44), 0)) - INDEX(Adsorbed!K:K, MATCH(1, (Adsorbed!A:A=A44)*(Adsorbed!D:D="s0"), 0)) - C44*INDEX(GasMolecules!K:K, MATCH("CO2", GasMolecules!A:A, 0)) - D44*INDEX(GasMolecules!K:K, MATCH("H2",  GasMolecules!A:A, 0)) + E44*INDEX(GasMolecules!K:K, MATCH("H2O", GasMolecules!A:A, 0)) + F44*INDEX(GasMolecules!K:K, MATCH("CH4", GasMolecules!A:A, 0))</f>
        <v>0</v>
      </c>
      <c r="H44" s="4" t="n">
        <f aca="false">INDEX(Adsorbed!O:O, MATCH(1, (Adsorbed!A:A=A44)*(Adsorbed!D:D=B44), 0)) - INDEX(Adsorbed!O:O, MATCH(1, (Adsorbed!A:A=A44)*(Adsorbed!D:D="s0"), 0)) - C44*INDEX(GasMolecules!O:O, MATCH("CO2", GasMolecules!A:A, 0)) - D44*INDEX(GasMolecules!O:O, MATCH("H2",  GasMolecules!A:A, 0)) + E44*INDEX(GasMolecules!O:O, MATCH("H2O", GasMolecules!A:A, 0)) + F44*INDEX(GasMolecules!O:O, MATCH("CH4", GasMolecules!A:A, 0))</f>
        <v>0</v>
      </c>
    </row>
    <row r="45" customFormat="false" ht="15" hidden="false" customHeight="false" outlineLevel="0" collapsed="false">
      <c r="A45" s="2" t="s">
        <v>36</v>
      </c>
      <c r="B45" s="2" t="s">
        <v>19</v>
      </c>
      <c r="C45" s="2" t="n">
        <v>1</v>
      </c>
      <c r="D45" s="2" t="n">
        <v>0</v>
      </c>
      <c r="E45" s="2" t="n">
        <v>0</v>
      </c>
      <c r="F45" s="2" t="n">
        <v>0</v>
      </c>
      <c r="G45" s="4" t="n">
        <f aca="false">INDEX(Adsorbed!K:K, MATCH(1, (Adsorbed!A:A=A45)*(Adsorbed!D:D=B45), 0)) - INDEX(Adsorbed!K:K, MATCH(1, (Adsorbed!A:A=A45)*(Adsorbed!D:D="s0"), 0)) - C45*INDEX(GasMolecules!K:K, MATCH("CO2", GasMolecules!A:A, 0)) - D45*INDEX(GasMolecules!K:K, MATCH("H2",  GasMolecules!A:A, 0)) + E45*INDEX(GasMolecules!K:K, MATCH("H2O", GasMolecules!A:A, 0)) + F45*INDEX(GasMolecules!K:K, MATCH("CH4", GasMolecules!A:A, 0))</f>
        <v>-0.10277</v>
      </c>
      <c r="H45" s="4" t="n">
        <f aca="false">INDEX(Adsorbed!O:O, MATCH(1, (Adsorbed!A:A=A45)*(Adsorbed!D:D=B45), 0)) - INDEX(Adsorbed!O:O, MATCH(1, (Adsorbed!A:A=A45)*(Adsorbed!D:D="s0"), 0)) - C45*INDEX(GasMolecules!O:O, MATCH("CO2", GasMolecules!A:A, 0)) - D45*INDEX(GasMolecules!O:O, MATCH("H2",  GasMolecules!A:A, 0)) + E45*INDEX(GasMolecules!O:O, MATCH("H2O", GasMolecules!A:A, 0)) + F45*INDEX(GasMolecules!O:O, MATCH("CH4", GasMolecules!A:A, 0))</f>
        <v>-0.21497</v>
      </c>
    </row>
    <row r="46" customFormat="false" ht="15" hidden="false" customHeight="false" outlineLevel="0" collapsed="false">
      <c r="A46" s="2" t="s">
        <v>36</v>
      </c>
      <c r="B46" s="2" t="s">
        <v>20</v>
      </c>
      <c r="C46" s="2" t="n">
        <v>1</v>
      </c>
      <c r="D46" s="2" t="n">
        <v>1</v>
      </c>
      <c r="E46" s="2" t="n">
        <v>0</v>
      </c>
      <c r="F46" s="2" t="n">
        <v>0</v>
      </c>
      <c r="G46" s="4" t="n">
        <f aca="false">INDEX(Adsorbed!K:K, MATCH(1, (Adsorbed!A:A=A46)*(Adsorbed!D:D=B46), 0)) - INDEX(Adsorbed!K:K, MATCH(1, (Adsorbed!A:A=A46)*(Adsorbed!D:D="s0"), 0)) - C46*INDEX(GasMolecules!K:K, MATCH("CO2", GasMolecules!A:A, 0)) - D46*INDEX(GasMolecules!K:K, MATCH("H2",  GasMolecules!A:A, 0)) + E46*INDEX(GasMolecules!K:K, MATCH("H2O", GasMolecules!A:A, 0)) + F46*INDEX(GasMolecules!K:K, MATCH("CH4", GasMolecules!A:A, 0))</f>
        <v>-0.20554</v>
      </c>
      <c r="H46" s="4" t="n">
        <f aca="false">INDEX(Adsorbed!O:O, MATCH(1, (Adsorbed!A:A=A46)*(Adsorbed!D:D=B46), 0)) - INDEX(Adsorbed!O:O, MATCH(1, (Adsorbed!A:A=A46)*(Adsorbed!D:D="s0"), 0)) - C46*INDEX(GasMolecules!O:O, MATCH("CO2", GasMolecules!A:A, 0)) - D46*INDEX(GasMolecules!O:O, MATCH("H2",  GasMolecules!A:A, 0)) + E46*INDEX(GasMolecules!O:O, MATCH("H2O", GasMolecules!A:A, 0)) + F46*INDEX(GasMolecules!O:O, MATCH("CH4", GasMolecules!A:A, 0))</f>
        <v>-0.42994</v>
      </c>
    </row>
    <row r="47" customFormat="false" ht="15" hidden="false" customHeight="false" outlineLevel="0" collapsed="false">
      <c r="A47" s="2" t="s">
        <v>36</v>
      </c>
      <c r="B47" s="2" t="s">
        <v>21</v>
      </c>
      <c r="C47" s="2" t="n">
        <v>1</v>
      </c>
      <c r="D47" s="2" t="n">
        <v>2</v>
      </c>
      <c r="E47" s="2" t="n">
        <v>1</v>
      </c>
      <c r="F47" s="2" t="n">
        <v>0</v>
      </c>
      <c r="G47" s="4" t="n">
        <f aca="false">INDEX(Adsorbed!K:K, MATCH(1, (Adsorbed!A:A=A47)*(Adsorbed!D:D=B47), 0)) - INDEX(Adsorbed!K:K, MATCH(1, (Adsorbed!A:A=A47)*(Adsorbed!D:D="s0"), 0)) - C47*INDEX(GasMolecules!K:K, MATCH("CO2", GasMolecules!A:A, 0)) - D47*INDEX(GasMolecules!K:K, MATCH("H2",  GasMolecules!A:A, 0)) + E47*INDEX(GasMolecules!K:K, MATCH("H2O", GasMolecules!A:A, 0)) + F47*INDEX(GasMolecules!K:K, MATCH("CH4", GasMolecules!A:A, 0))</f>
        <v>-0.20554</v>
      </c>
      <c r="H47" s="4" t="n">
        <f aca="false">INDEX(Adsorbed!O:O, MATCH(1, (Adsorbed!A:A=A47)*(Adsorbed!D:D=B47), 0)) - INDEX(Adsorbed!O:O, MATCH(1, (Adsorbed!A:A=A47)*(Adsorbed!D:D="s0"), 0)) - C47*INDEX(GasMolecules!O:O, MATCH("CO2", GasMolecules!A:A, 0)) - D47*INDEX(GasMolecules!O:O, MATCH("H2",  GasMolecules!A:A, 0)) + E47*INDEX(GasMolecules!O:O, MATCH("H2O", GasMolecules!A:A, 0)) + F47*INDEX(GasMolecules!O:O, MATCH("CH4", GasMolecules!A:A, 0))</f>
        <v>-0.42994</v>
      </c>
    </row>
    <row r="48" customFormat="false" ht="15" hidden="false" customHeight="false" outlineLevel="0" collapsed="false">
      <c r="A48" s="2" t="s">
        <v>36</v>
      </c>
      <c r="B48" s="2" t="s">
        <v>22</v>
      </c>
      <c r="C48" s="2" t="n">
        <v>1</v>
      </c>
      <c r="D48" s="2" t="n">
        <v>3</v>
      </c>
      <c r="E48" s="2" t="n">
        <v>1</v>
      </c>
      <c r="F48" s="2" t="n">
        <v>0</v>
      </c>
      <c r="G48" s="4" t="n">
        <f aca="false">INDEX(Adsorbed!K:K, MATCH(1, (Adsorbed!A:A=A48)*(Adsorbed!D:D=B48), 0)) - INDEX(Adsorbed!K:K, MATCH(1, (Adsorbed!A:A=A48)*(Adsorbed!D:D="s0"), 0)) - C48*INDEX(GasMolecules!K:K, MATCH("CO2", GasMolecules!A:A, 0)) - D48*INDEX(GasMolecules!K:K, MATCH("H2",  GasMolecules!A:A, 0)) + E48*INDEX(GasMolecules!K:K, MATCH("H2O", GasMolecules!A:A, 0)) + F48*INDEX(GasMolecules!K:K, MATCH("CH4", GasMolecules!A:A, 0))</f>
        <v>-0.30831</v>
      </c>
      <c r="H48" s="4" t="n">
        <f aca="false">INDEX(Adsorbed!O:O, MATCH(1, (Adsorbed!A:A=A48)*(Adsorbed!D:D=B48), 0)) - INDEX(Adsorbed!O:O, MATCH(1, (Adsorbed!A:A=A48)*(Adsorbed!D:D="s0"), 0)) - C48*INDEX(GasMolecules!O:O, MATCH("CO2", GasMolecules!A:A, 0)) - D48*INDEX(GasMolecules!O:O, MATCH("H2",  GasMolecules!A:A, 0)) + E48*INDEX(GasMolecules!O:O, MATCH("H2O", GasMolecules!A:A, 0)) + F48*INDEX(GasMolecules!O:O, MATCH("CH4", GasMolecules!A:A, 0))</f>
        <v>-0.64491</v>
      </c>
    </row>
    <row r="49" customFormat="false" ht="15" hidden="false" customHeight="false" outlineLevel="0" collapsed="false">
      <c r="A49" s="2" t="s">
        <v>36</v>
      </c>
      <c r="B49" s="2" t="s">
        <v>23</v>
      </c>
      <c r="C49" s="2" t="n">
        <v>1</v>
      </c>
      <c r="D49" s="2" t="n">
        <v>4</v>
      </c>
      <c r="E49" s="2" t="n">
        <v>1</v>
      </c>
      <c r="F49" s="2" t="n">
        <v>1</v>
      </c>
      <c r="G49" s="4" t="n">
        <f aca="false">INDEX(Adsorbed!K:K, MATCH(1, (Adsorbed!A:A=A49)*(Adsorbed!D:D=B49), 0)) - INDEX(Adsorbed!K:K, MATCH(1, (Adsorbed!A:A=A49)*(Adsorbed!D:D="s0"), 0)) - C49*INDEX(GasMolecules!K:K, MATCH("CO2", GasMolecules!A:A, 0)) - D49*INDEX(GasMolecules!K:K, MATCH("H2",  GasMolecules!A:A, 0)) + E49*INDEX(GasMolecules!K:K, MATCH("H2O", GasMolecules!A:A, 0)) + F49*INDEX(GasMolecules!K:K, MATCH("CH4", GasMolecules!A:A, 0))</f>
        <v>-0.30831</v>
      </c>
      <c r="H49" s="4" t="n">
        <f aca="false">INDEX(Adsorbed!O:O, MATCH(1, (Adsorbed!A:A=A49)*(Adsorbed!D:D=B49), 0)) - INDEX(Adsorbed!O:O, MATCH(1, (Adsorbed!A:A=A49)*(Adsorbed!D:D="s0"), 0)) - C49*INDEX(GasMolecules!O:O, MATCH("CO2", GasMolecules!A:A, 0)) - D49*INDEX(GasMolecules!O:O, MATCH("H2",  GasMolecules!A:A, 0)) + E49*INDEX(GasMolecules!O:O, MATCH("H2O", GasMolecules!A:A, 0)) + F49*INDEX(GasMolecules!O:O, MATCH("CH4", GasMolecules!A:A, 0))</f>
        <v>-0.64491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36" hidden="false" customHeight="true" outlineLevel="0" collapsed="false">
      <c r="A1" s="5" t="s">
        <v>55</v>
      </c>
      <c r="B1" s="6" t="s">
        <v>56</v>
      </c>
    </row>
    <row r="2" customFormat="false" ht="36" hidden="false" customHeight="true" outlineLevel="0" collapsed="false">
      <c r="A2" s="5" t="s">
        <v>57</v>
      </c>
      <c r="B2" s="6" t="s">
        <v>58</v>
      </c>
    </row>
    <row r="3" customFormat="false" ht="36" hidden="false" customHeight="true" outlineLevel="0" collapsed="false">
      <c r="A3" s="5" t="s">
        <v>59</v>
      </c>
      <c r="B3" s="6" t="s">
        <v>60</v>
      </c>
    </row>
    <row r="4" customFormat="false" ht="36" hidden="false" customHeight="true" outlineLevel="0" collapsed="false">
      <c r="A4" s="5" t="s">
        <v>61</v>
      </c>
      <c r="B4" s="6" t="s">
        <v>62</v>
      </c>
    </row>
    <row r="5" customFormat="false" ht="36" hidden="false" customHeight="true" outlineLevel="0" collapsed="false">
      <c r="A5" s="5" t="s">
        <v>63</v>
      </c>
      <c r="B5" s="6" t="s">
        <v>64</v>
      </c>
    </row>
    <row r="6" customFormat="false" ht="36" hidden="false" customHeight="true" outlineLevel="0" collapsed="false">
      <c r="A6" s="5" t="s">
        <v>65</v>
      </c>
      <c r="B6" s="6" t="s">
        <v>66</v>
      </c>
    </row>
    <row r="7" customFormat="false" ht="36" hidden="false" customHeight="true" outlineLevel="0" collapsed="false">
      <c r="A7" s="5" t="s">
        <v>67</v>
      </c>
      <c r="B7" s="6" t="s">
        <v>68</v>
      </c>
    </row>
    <row r="8" customFormat="false" ht="36" hidden="false" customHeight="true" outlineLevel="0" collapsed="false">
      <c r="A8" s="5" t="s">
        <v>69</v>
      </c>
      <c r="B8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2026-05-18T06:17:57Z</dcterms:created>
  <dc:creator>openpyxl</dc:creator>
  <dc:description/>
  <dc:language>en-US</dc:language>
  <cp:lastModifiedBy/>
  <dcterms:modified xsi:type="dcterms:W3CDTF">2026-05-18T06:17:57Z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