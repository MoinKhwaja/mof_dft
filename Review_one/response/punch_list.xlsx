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ents" sheetId="1" state="visible" r:id="rId3"/>
    <sheet name="Summary" sheetId="2" state="visible" r:id="rId4"/>
    <sheet name="Legen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<sst xmlns="http://schemas.openxmlformats.org/spreadsheetml/2006/main" count="300" uniqueCount="145">
  <si>
    <t xml:space="preserve">ID</t>
  </si>
  <si>
    <t xml:space="preserve">Reviewer</t>
  </si>
  <si>
    <t xml:space="preserve">Verbatim comment</t>
  </si>
  <si>
    <t xml:space="preserve">Category</t>
  </si>
  <si>
    <t xml:space="preserve">Classification</t>
  </si>
  <si>
    <t xml:space="preserve">Effort</t>
  </si>
  <si>
    <t xml:space="preserve">Target section(s)</t>
  </si>
  <si>
    <t xml:space="preserve">Owner</t>
  </si>
  <si>
    <t xml:space="preserve">Status</t>
  </si>
  <si>
    <t xml:space="preserve">Notes / approach</t>
  </si>
  <si>
    <t xml:space="preserve">R1-1</t>
  </si>
  <si>
    <t xml:space="preserve">Referee 1</t>
  </si>
  <si>
    <t xml:space="preserve">"Photo-hydrogenation combines the advantages of both methods to accelerate the overall catalytic process by using light to promote charge excitation and separation, lowering the required heat to carry out the reaction." It is unclear what two methods are being referred to here. The process of excitation and separation is ubiquitous to all photocatalysis. Photo-hydrogenation appears to be a subset of photocatalytic reactions, just as electroreduction can be a subset of electrocatalysis. The authors frame photo-hydrogenation as a novel method that is entirely separate from photocatalysis, when that is not the case. Clarification is needed here.</t>
  </si>
  <si>
    <t xml:space="preserve">framing</t>
  </si>
  <si>
    <t xml:space="preserve">text-only</t>
  </si>
  <si>
    <t xml:space="preserve">low</t>
  </si>
  <si>
    <t xml:space="preserve">Introduction (¶ on photo-hydrogenation); Conclusions</t>
  </si>
  <si>
    <t xml:space="preserve">MK</t>
  </si>
  <si>
    <t xml:space="preserve">open</t>
  </si>
  <si>
    <t xml:space="preserve">Rewrite the paragraph to position photo-hydrogenation as a subset of photocatalysis that combines photo-driven charge generation with thermal hydrogenation; explicitly name the 'two methods' (photocatalysis and thermocatalysis) and remove framing that suggests novelty separate from photocatalysis.</t>
  </si>
  <si>
    <t xml:space="preserve">R1-2</t>
  </si>
  <si>
    <t xml:space="preserve">In Figure 1, the DFT analysis is shown to have taken 55 hrs and 30 mins. Is this the time taken to optimise a single intermediate, a full reaction profile on a single MOF candidate, or all reaction profiles on all selected MOF candidates?</t>
  </si>
  <si>
    <t xml:space="preserve">cosmetic</t>
  </si>
  <si>
    <t xml:space="preserve">Figure 1 caption</t>
  </si>
  <si>
    <t xml:space="preserve">Pull average wall-time per intermediate and per full s0-&gt;s5 profile from CP2K .out files (job time stamps). State explicitly in caption which quantity is being reported.</t>
  </si>
  <si>
    <t xml:space="preserve">R1-3</t>
  </si>
  <si>
    <t xml:space="preserve">It should be specified whether DFT calculations are performed with spin polarisation.</t>
  </si>
  <si>
    <t xml:space="preserve">methodology</t>
  </si>
  <si>
    <t xml:space="preserve">new-compute</t>
  </si>
  <si>
    <t xml:space="preserve">medium</t>
  </si>
  <si>
    <t xml:space="preserve">§2.2 Density Functional Theory; SI Methods</t>
  </si>
  <si>
    <t xml:space="preserve">Current CP2K inputs use MULTIPLICITY 1 / no UKS -&gt; spin-restricted. Justify closed-shell treatment for Zn(II), Mg(II), Al(III) candidates (d0/d10). For Ni-MOF-74 (qmof-ea9f3ea) rerun s0-s5 with UKS and appropriate initial magnetic moments. Compare energies; update text and SI accordingly.</t>
  </si>
  <si>
    <t xml:space="preserve">R1-4</t>
  </si>
  <si>
    <t xml:space="preserve">It is unclear to me what reaction conditions are being proposed for the photocatalytic CO2 conversion. Aqueous stability is screened for, implying a consideration for the presence of water. Are these materials intended to be immersed in an aqueous environment? Clarification on 'humid conditions' would be helpful.</t>
  </si>
  <si>
    <t xml:space="preserve">§2.1 Aqueous-stability tier; Discussion</t>
  </si>
  <si>
    <t xml:space="preserve">Clarify intended operating regime: gas-phase H2 + CO2 with humid carrier (water vapour) per Yasumura et al. configuration; aqueous-stability screen is a robustness check against water produced in-situ and ambient humidity, not an immersion assumption.</t>
  </si>
  <si>
    <t xml:space="preserve">R1-5</t>
  </si>
  <si>
    <t xml:space="preserve">Regarding Equation 1, it appears that the energy of any intermediate is relative to the energy of a preceding intermediate, following a sort of cumulative scheme. However, it is unclear to me why such a method is chosen for calculating the relative energies. Standard practice is to calculate all energies relative to a common reference, i.e., the clean and relaxed MOF and gas phase species. DeltaE = E_(MOF+ads) - E_MOF - x*E_(CO2(g)) - y*E_(H2(g)). Looking at the authors proposed scheme, it may be that the adsorbate is removed from the MOF at n-1 and a single point calculation is performed on the resulting MOF configuration, but the point remains the same, that the energies appear to not have a common reference.</t>
  </si>
  <si>
    <t xml:space="preserve">re-analysis</t>
  </si>
  <si>
    <t xml:space="preserve">§2.2 Eq. 1; Figure 4; Table S5</t>
  </si>
  <si>
    <t xml:space="preserve">Recompute Delta-E using common reference: E_(MOF+ads) - E_MOF - n_CO2*E_CO2(g) - n_H2*E_H2(g) + n_H2O*E_H2O(g) + n_CH4*E_CH4(g) as needed. Molecule reference energies already exist in DFT/complete_dft_input/molecules/. Regenerate Figure 4 and Table S5; keep the cumulative plot but with the common-reference y-axis.</t>
  </si>
  <si>
    <t xml:space="preserve">R1-6</t>
  </si>
  <si>
    <t xml:space="preserve">Ground state energies were calculated at the DFT-D3 level. However, in the introduction the authors claim that the photo-hydrogenation mechanism relies on charge excitation and separation. The photocatalytic mechanism for CO2 hydrogenation involves the interaction of CO2 with an excited electron to give the CO2- intermediate. The authors have modelled the photocatalytic mechanism as a thermocatalytic mechanism. The authors have not accounted for or discussed any excitation in the calculation of the reaction profile. How is their ground state reaction profile linked to a process involving an excited state?</t>
  </si>
  <si>
    <t xml:space="preserve">high</t>
  </si>
  <si>
    <t xml:space="preserve">§2.2 DFT; §3 new excited-state results; §4 Discussion</t>
  </si>
  <si>
    <t xml:space="preserve">MK / ALCM</t>
  </si>
  <si>
    <t xml:space="preserve">New calculations live in new_calc/R1-6_excited_state_photomech/: (a) sTDA excited states in CP2K GPW (Hehn 2022) on 4 representative candidates; (b) HOMO/LUMO vacuum alignment vs CO2RR + HER + water-splitting redox potentials (Aziz 2017); (c) new figure mapping our calculations onto the 5-step photo-CO2RR mechanism (Chen 2022). Cite Ingham 2023 perspective.</t>
  </si>
  <si>
    <t xml:space="preserve">R1-7</t>
  </si>
  <si>
    <t xml:space="preserve">The authors also state, "One exception is qmof-52ef7e9, which exhibits a slight endothermic step at initial CO2 adsorption before proceeding exothermically through the remaining steps, though this barrier should be overcome by the hydrogenation reaction conditions." What conditions are being referred to here?</t>
  </si>
  <si>
    <t xml:space="preserve">§3.2 DFT Results</t>
  </si>
  <si>
    <t xml:space="preserve">Specify the assumed operating conditions (T, P_H2, P_CO2) and the magnitude of the endothermic step in kJ/mol so the reader can judge thermal accessibility; reword to remove the hand-wave.</t>
  </si>
  <si>
    <t xml:space="preserve">R1-8</t>
  </si>
  <si>
    <t xml:space="preserve">It should be made clear that all reaction steps involve the concerted hydrogenation of CO2 intermediates. Is H2 intended to be a feedstock? Or are holes used to oxidise water and generate protons? Justification is required for not modelling individual PCET steps.</t>
  </si>
  <si>
    <t xml:space="preserve">§2.2 DFT methodology</t>
  </si>
  <si>
    <t xml:space="preserve">State H2 as feedstock (consistent with hydrogenation framing). Justify pairing H+/e- as concerted PCET step rather than separating proton and electron transfers (charge-neutrality + standard screening practice; cite McCarver 2023). Acknowledge that decoupled PCET could be future work.</t>
  </si>
  <si>
    <t xml:space="preserve">R1-9</t>
  </si>
  <si>
    <t xml:space="preserve">It is unclear if the authors have sampled different configurations for each step. i.e., Have they tried to coordinate CO2 to the metal centre via the C atom, or have they attempted to hydrogenate the oxygen atom that is coordinated to the metal centre?</t>
  </si>
  <si>
    <t xml:space="preserve">§2.2; new SI section + SI table</t>
  </si>
  <si>
    <t xml:space="preserve">For each of the 8 final candidates (priority: 5 novel), optimise &gt;= 2 alternative configurations: (a) CO2 C-down vs O-down on OMS; (b) hydrogenation of proximal vs distal O. Report lowest-energy config in main text and full set in SI table.</t>
  </si>
  <si>
    <t xml:space="preserve">R1-10</t>
  </si>
  <si>
    <t xml:space="preserve">The authors have screened 20,000 MOF structures using a correction to account for the well-known failing of GGA methods to reproduce the bandgap. While appropriate for such a large number of structures, the authors should validate the bandgaps of their successful candidate materials using a more accurate hybrid functional. This is a necessary sanity check for their workflow.</t>
  </si>
  <si>
    <t xml:space="preserve">validation</t>
  </si>
  <si>
    <t xml:space="preserve">§3.1 Screening Results; new SI table</t>
  </si>
  <si>
    <t xml:space="preserve">Run HSE06 (or PBE0) single-point band-gap on the 8 final candidates, restarting from existing PBE .wfn files in DFT/complete_dft_input/&lt;id&gt;/. Compare hybrid gap vs PBE+0.85 eV shift; report in SI table and discuss agreement in a short main-text paragraph.</t>
  </si>
  <si>
    <t xml:space="preserve">R1-11</t>
  </si>
  <si>
    <t xml:space="preserve">All DFT energies in the SI should be in eV, as that is the convention used in the main text.</t>
  </si>
  <si>
    <t xml:space="preserve">SI tables (S3, S5)</t>
  </si>
  <si>
    <t xml:space="preserve">Convert all Ha/kJ-mol values in SI to eV; ensure unit headers are consistent with main text.</t>
  </si>
  <si>
    <t xml:space="preserve">R1-12</t>
  </si>
  <si>
    <t xml:space="preserve">Figures in the SI should also have captions. It is unclear what is being measured in Table/Figure S7.</t>
  </si>
  <si>
    <t xml:space="preserve">SI all figures, especially S7</t>
  </si>
  <si>
    <t xml:space="preserve">Add full captions to every SI figure. For S7 (18-category LCA), label all categories and units explicitly; clarify functional unit (1 g material) and method (ReCiPe 2016 Midpoint E).</t>
  </si>
  <si>
    <t xml:space="preserve">R1-13</t>
  </si>
  <si>
    <t xml:space="preserve">References: (1) Ingham, M., Aziz, A., Di Tommaso, D., Crespo-Otero, R. Mater. Adv. 2023, 4 (22), 5388-5419.</t>
  </si>
  <si>
    <t xml:space="preserve">bibliography</t>
  </si>
  <si>
    <t xml:space="preserve">Introduction / Discussion; references.bib</t>
  </si>
  <si>
    <t xml:space="preserve">Cite this reference when introducing CO2- intermediate and excited-state mechanism context (see R1-6). Add bib entry to references.bib.</t>
  </si>
  <si>
    <t xml:space="preserve">R2-1</t>
  </si>
  <si>
    <t xml:space="preserve">Referee 2</t>
  </si>
  <si>
    <t xml:space="preserve">However, the study lacks scientific discussion, and the results are reported as they are obtained. The authors didn't sufficiently discuss the reasons for the differences in observations among the various candidates they are considering. Such a discussion is needed, at least for the 8 MOFs that were finally screened.</t>
  </si>
  <si>
    <t xml:space="preserve">discussion</t>
  </si>
  <si>
    <t xml:space="preserve">§4 Discussion (new subsection)</t>
  </si>
  <si>
    <t xml:space="preserve">Add a discussion subsection rationalising the energy-profile differences across the 8 candidates: metal node identity (electronegativity, d-electron count), pore size impact on water leaving step, linker electronic donating/withdrawing character, OMS coordination environment. Tie back to McCarver 2023 trends where applicable.</t>
  </si>
  <si>
    <t xml:space="preserve">R2-2</t>
  </si>
  <si>
    <t xml:space="preserve">For the DFT analysis, the authors performed thermodynamic screening and duly noted that the kinetic barriers were not calculated. Given the computations performed in this manuscript, it is necessary to include a kinetic analysis to strengthen the conclusions. If the aim is to reduce computational cost, the kinetic barriers (via CI-NEB) can be performed on the last 5 novel materials they have identified for experimental research.</t>
  </si>
  <si>
    <t xml:space="preserve">§2.2 DFT methodology; §3.2 Results; new SI figures</t>
  </si>
  <si>
    <t xml:space="preserve">Set up CI-NEB in CP2K for the 5 novel MOFs (qmof-0e64acd, 52ef7e9, 91692c9, 07c07d3, 74ace65) using existing s_n -&gt; s_(n+1) image pairs from DFT/complete_dft_input/. 5-8 images per band; report activation energies. Add new figure to main text or SI; integrate into Discussion.</t>
  </si>
  <si>
    <t xml:space="preserve">R2-3</t>
  </si>
  <si>
    <t xml:space="preserve">There are major concerns about the calculation of the total energy (in eq 1). Which energy is used from the DFT results? Do they consist of only DFT energy, or is there an inclusion of ZPE and entropy contribution? If they are included, it should also be mentioned in the computation section. If they are not included, they should also be added to the energy values for more accurate results.</t>
  </si>
  <si>
    <t xml:space="preserve">§2.2 DFT methodology; Eq. 1; Figure 4; Table S5</t>
  </si>
  <si>
    <t xml:space="preserve">Currently DFT electronic energy only. Add ZPE + thermal/entropy corrections at T=298 K (or operating T) via vibrational frequency calculations in CP2K at each stationary point. Use harmonic approximation; report Gibbs free energies in revised Figure 4 / Table S5.</t>
  </si>
  <si>
    <t xml:space="preserve">R2-4</t>
  </si>
  <si>
    <t xml:space="preserve">Additionally, how are the ground state geometries confirmed after SCF analysis? How are the active sites and stable geometries of adsorbents identified? Data on the screening of these should also be provided (at least in the SI file) on adsorption energies for different active sites and orientations.</t>
  </si>
  <si>
    <t xml:space="preserve">§2.2 DFT methodology; new SI table</t>
  </si>
  <si>
    <t xml:space="preserve">Document the geometry convergence criteria already in CP2K input (BFGS, 3e-3 thresholds). For active site identification, cite the Chung 2019 OMS algorithm used in the screening tier. Add SI table of adsorption energies for sampled orientations (overlaps with R1-9 work).</t>
  </si>
  <si>
    <t xml:space="preserve">R2-5</t>
  </si>
  <si>
    <t xml:space="preserve">Also, Ref 59 is not found; check it and correct it.</t>
  </si>
  <si>
    <t xml:space="preserve">references.bib (entry 59 of compiled bibliography)</t>
  </si>
  <si>
    <t xml:space="preserve">Identify which bib key compiles to ref 59, verify DOI/URL, fix.</t>
  </si>
  <si>
    <t xml:space="preserve">R2-6</t>
  </si>
  <si>
    <t xml:space="preserve">In Figure 4, instead of Frame 2a... in the X-axis, give the reaction which is referred (Eg, CO2(ads)/*CO2)</t>
  </si>
  <si>
    <t xml:space="preserve">Figure 4</t>
  </si>
  <si>
    <t xml:space="preserve">Relabel x-axis ticks with explicit species: *, *CO2, *COOH, *CO+H2O (or equivalent intermediate labels matching the actual structures). Coordinate labels with Figure 2 frames.</t>
  </si>
  <si>
    <t xml:space="preserve">R2-7</t>
  </si>
  <si>
    <t xml:space="preserve">In Table S5, instead of total energy, change it to relative energy. Also, the column title can also be modified similar to Figure 4, instead of add H2, add co2 ...</t>
  </si>
  <si>
    <t xml:space="preserve">Table S5 (SI)</t>
  </si>
  <si>
    <t xml:space="preserve">Header change from 'Total energy' to 'Relative energy (eV)' (after recomputation per R1-5); rename step columns to match the chemistry labels used in revised Figure 4.</t>
  </si>
  <si>
    <t xml:space="preserve">R2-8</t>
  </si>
  <si>
    <t xml:space="preserve">In Figure 6, instead of using different gradients of green, use three distinct colors in the graph.</t>
  </si>
  <si>
    <t xml:space="preserve">Figure 6</t>
  </si>
  <si>
    <t xml:space="preserve">Replace green-only gradient with three perceptually distinct colors (e.g., colorblind-safe).</t>
  </si>
  <si>
    <t xml:space="preserve">R2-9</t>
  </si>
  <si>
    <t xml:space="preserve">Table 1 should be given before section 4, as the table is first mentioned in section 3.2.</t>
  </si>
  <si>
    <t xml:space="preserve">Table 1 placement</t>
  </si>
  <si>
    <t xml:space="preserve">Move \begin{table*}...Table 1 to immediately after first mention in §3.2.</t>
  </si>
  <si>
    <t xml:space="preserve">R2-10</t>
  </si>
  <si>
    <t xml:space="preserve">While citing Websites, the date accessed should also be included.</t>
  </si>
  <si>
    <t xml:space="preserve">references.bib (all @misc / website entries)</t>
  </si>
  <si>
    <t xml:space="preserve">Add 'urldate = {YYYY-MM-DD}' or 'note = {Accessed YYYY-MM-DD}' to all website citations (Sigma-Aldrich, SimaPro, Ecoinvent, QMOF DB, Materials Project, etc.).</t>
  </si>
  <si>
    <t xml:space="preserve">Phase A — Punch-list summary</t>
  </si>
  <si>
    <t xml:space="preserve">Total comments</t>
  </si>
  <si>
    <t xml:space="preserve">By category</t>
  </si>
  <si>
    <t xml:space="preserve">By classification</t>
  </si>
  <si>
    <t xml:space="preserve">By effort</t>
  </si>
  <si>
    <t xml:space="preserve">By status</t>
  </si>
  <si>
    <t xml:space="preserve">in-progress</t>
  </si>
  <si>
    <t xml:space="preserve">done</t>
  </si>
  <si>
    <t xml:space="preserve">Field</t>
  </si>
  <si>
    <t xml:space="preserve">Allowed values</t>
  </si>
  <si>
    <t xml:space="preserve">Meaning</t>
  </si>
  <si>
    <t xml:space="preserve">Conceptual / how the paper is positioned</t>
  </si>
  <si>
    <t xml:space="preserve">DFT setup, reference state, sampling</t>
  </si>
  <si>
    <t xml:space="preserve">Sanity-check existing results</t>
  </si>
  <si>
    <t xml:space="preserve">Deeper interpretation / 'why' analysis</t>
  </si>
  <si>
    <t xml:space="preserve">Text edits, units, captions, colors, labels</t>
  </si>
  <si>
    <t xml:space="preserve">References, citations, access dates</t>
  </si>
  <si>
    <t xml:space="preserve">Manuscript edit, no new analysis</t>
  </si>
  <si>
    <t xml:space="preserve">Recompute / re-plot from existing data</t>
  </si>
  <si>
    <t xml:space="preserve">Requires new CP2K / DFT calculations</t>
  </si>
  <si>
    <t xml:space="preserve">&lt;= 1 day</t>
  </si>
  <si>
    <t xml:space="preserve">Days to ~1 week</t>
  </si>
  <si>
    <t xml:space="preserve">Weeks (compute-bound)</t>
  </si>
  <si>
    <t xml:space="preserve">Not started</t>
  </si>
  <si>
    <t xml:space="preserve">Work underway</t>
  </si>
  <si>
    <t xml:space="preserve">Addressed in manuscript &amp; response letter</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</si>
</sst>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name val="Arial"/>
      <family val="0"/>
      <charset val="1"/>
    </font>
    <font>
      <sz val="11"/>
      <name val="Arial"/>
      <family val="0"/>
      <charset val="1"/>
    </font>
    <font>
      <b val="true"/>
      <sz val="11"/>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60"/>
    <col collapsed="false" customWidth="true" hidden="false" outlineLevel="0" max="5" min="4" style="0" width="14"/>
    <col collapsed="false" customWidth="true" hidden="false" outlineLevel="0" max="6" min="6" style="0" width="9"/>
    <col collapsed="false" customWidth="true" hidden="false" outlineLevel="0" max="7" min="7" style="0" width="32"/>
    <col collapsed="false" customWidth="true" hidden="false" outlineLevel="0" max="8" min="8" style="0" width="12"/>
    <col collapsed="false" customWidth="true" hidden="false" outlineLevel="0" max="9" min="9" style="0" width="13"/>
    <col collapsed="false" customWidth="true" hidden="false" outlineLevel="0" max="10" min="10" style="0" width="50"/>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row>
    <row r="2" customFormat="false" ht="113.4" hidden="false" customHeight="false" outlineLevel="0" collapsed="false">
      <c r="A2" s="2" t="s">
        <v>10</v>
      </c>
      <c r="B2" s="2" t="s">
        <v>11</v>
      </c>
      <c r="C2" s="2" t="s">
        <v>12</v>
      </c>
      <c r="D2" s="2" t="s">
        <v>13</v>
      </c>
      <c r="E2" s="2" t="s">
        <v>14</v>
      </c>
      <c r="F2" s="2" t="s">
        <v>15</v>
      </c>
      <c r="G2" s="2" t="s">
        <v>16</v>
      </c>
      <c r="H2" s="2" t="s">
        <v>17</v>
      </c>
      <c r="I2" s="2" t="s">
        <v>18</v>
      </c>
      <c r="J2" s="2" t="s">
        <v>19</v>
      </c>
    </row>
    <row r="3" customFormat="false" ht="46.25" hidden="false" customHeight="false" outlineLevel="0" collapsed="false">
      <c r="A3" s="2" t="s">
        <v>20</v>
      </c>
      <c r="B3" s="2" t="s">
        <v>11</v>
      </c>
      <c r="C3" s="2" t="s">
        <v>21</v>
      </c>
      <c r="D3" s="2" t="s">
        <v>22</v>
      </c>
      <c r="E3" s="2" t="s">
        <v>14</v>
      </c>
      <c r="F3" s="2" t="s">
        <v>15</v>
      </c>
      <c r="G3" s="2" t="s">
        <v>23</v>
      </c>
      <c r="H3" s="2" t="s">
        <v>17</v>
      </c>
      <c r="I3" s="2" t="s">
        <v>18</v>
      </c>
      <c r="J3" s="2" t="s">
        <v>24</v>
      </c>
    </row>
    <row r="4" customFormat="false" ht="57.45" hidden="false" customHeight="false" outlineLevel="0" collapsed="false">
      <c r="A4" s="2" t="s">
        <v>25</v>
      </c>
      <c r="B4" s="2" t="s">
        <v>11</v>
      </c>
      <c r="C4" s="2" t="s">
        <v>26</v>
      </c>
      <c r="D4" s="2" t="s">
        <v>27</v>
      </c>
      <c r="E4" s="2" t="s">
        <v>28</v>
      </c>
      <c r="F4" s="2" t="s">
        <v>29</v>
      </c>
      <c r="G4" s="2" t="s">
        <v>30</v>
      </c>
      <c r="H4" s="2" t="s">
        <v>17</v>
      </c>
      <c r="I4" s="2" t="s">
        <v>18</v>
      </c>
      <c r="J4" s="2" t="s">
        <v>31</v>
      </c>
    </row>
    <row r="5" customFormat="false" ht="57.45" hidden="false" customHeight="false" outlineLevel="0" collapsed="false">
      <c r="A5" s="2" t="s">
        <v>32</v>
      </c>
      <c r="B5" s="2" t="s">
        <v>11</v>
      </c>
      <c r="C5" s="2" t="s">
        <v>33</v>
      </c>
      <c r="D5" s="2" t="s">
        <v>13</v>
      </c>
      <c r="E5" s="2" t="s">
        <v>14</v>
      </c>
      <c r="F5" s="2" t="s">
        <v>15</v>
      </c>
      <c r="G5" s="2" t="s">
        <v>34</v>
      </c>
      <c r="H5" s="2" t="s">
        <v>17</v>
      </c>
      <c r="I5" s="2" t="s">
        <v>18</v>
      </c>
      <c r="J5" s="2" t="s">
        <v>35</v>
      </c>
    </row>
    <row r="6" customFormat="false" ht="124.6" hidden="false" customHeight="false" outlineLevel="0" collapsed="false">
      <c r="A6" s="2" t="s">
        <v>36</v>
      </c>
      <c r="B6" s="2" t="s">
        <v>11</v>
      </c>
      <c r="C6" s="2" t="s">
        <v>37</v>
      </c>
      <c r="D6" s="2" t="s">
        <v>27</v>
      </c>
      <c r="E6" s="2" t="s">
        <v>38</v>
      </c>
      <c r="F6" s="2" t="s">
        <v>29</v>
      </c>
      <c r="G6" s="2" t="s">
        <v>39</v>
      </c>
      <c r="H6" s="2" t="s">
        <v>17</v>
      </c>
      <c r="I6" s="2" t="s">
        <v>18</v>
      </c>
      <c r="J6" s="2" t="s">
        <v>40</v>
      </c>
    </row>
    <row r="7" customFormat="false" ht="102.2" hidden="false" customHeight="false" outlineLevel="0" collapsed="false">
      <c r="A7" s="2" t="s">
        <v>41</v>
      </c>
      <c r="B7" s="2" t="s">
        <v>11</v>
      </c>
      <c r="C7" s="2" t="s">
        <v>42</v>
      </c>
      <c r="D7" s="2" t="s">
        <v>13</v>
      </c>
      <c r="E7" s="2" t="s">
        <v>28</v>
      </c>
      <c r="F7" s="2" t="s">
        <v>43</v>
      </c>
      <c r="G7" s="2" t="s">
        <v>44</v>
      </c>
      <c r="H7" s="2" t="s">
        <v>45</v>
      </c>
      <c r="I7" s="2" t="s">
        <v>18</v>
      </c>
      <c r="J7" s="2" t="s">
        <v>46</v>
      </c>
    </row>
    <row r="8" customFormat="false" ht="57.45" hidden="false" customHeight="false" outlineLevel="0" collapsed="false">
      <c r="A8" s="2" t="s">
        <v>47</v>
      </c>
      <c r="B8" s="2" t="s">
        <v>11</v>
      </c>
      <c r="C8" s="2" t="s">
        <v>48</v>
      </c>
      <c r="D8" s="2" t="s">
        <v>13</v>
      </c>
      <c r="E8" s="2" t="s">
        <v>14</v>
      </c>
      <c r="F8" s="2" t="s">
        <v>15</v>
      </c>
      <c r="G8" s="2" t="s">
        <v>49</v>
      </c>
      <c r="H8" s="2" t="s">
        <v>17</v>
      </c>
      <c r="I8" s="2" t="s">
        <v>18</v>
      </c>
      <c r="J8" s="2" t="s">
        <v>50</v>
      </c>
    </row>
    <row r="9" customFormat="false" ht="57.45" hidden="false" customHeight="false" outlineLevel="0" collapsed="false">
      <c r="A9" s="2" t="s">
        <v>51</v>
      </c>
      <c r="B9" s="2" t="s">
        <v>11</v>
      </c>
      <c r="C9" s="2" t="s">
        <v>52</v>
      </c>
      <c r="D9" s="2" t="s">
        <v>27</v>
      </c>
      <c r="E9" s="2" t="s">
        <v>14</v>
      </c>
      <c r="F9" s="2" t="s">
        <v>29</v>
      </c>
      <c r="G9" s="2" t="s">
        <v>53</v>
      </c>
      <c r="H9" s="2" t="s">
        <v>17</v>
      </c>
      <c r="I9" s="2" t="s">
        <v>18</v>
      </c>
      <c r="J9" s="2" t="s">
        <v>54</v>
      </c>
    </row>
    <row r="10" customFormat="false" ht="46.25" hidden="false" customHeight="false" outlineLevel="0" collapsed="false">
      <c r="A10" s="2" t="s">
        <v>55</v>
      </c>
      <c r="B10" s="2" t="s">
        <v>11</v>
      </c>
      <c r="C10" s="2" t="s">
        <v>56</v>
      </c>
      <c r="D10" s="2" t="s">
        <v>27</v>
      </c>
      <c r="E10" s="2" t="s">
        <v>28</v>
      </c>
      <c r="F10" s="2" t="s">
        <v>43</v>
      </c>
      <c r="G10" s="2" t="s">
        <v>57</v>
      </c>
      <c r="H10" s="2" t="s">
        <v>17</v>
      </c>
      <c r="I10" s="2" t="s">
        <v>18</v>
      </c>
      <c r="J10" s="2" t="s">
        <v>58</v>
      </c>
    </row>
    <row r="11" customFormat="false" ht="68.65" hidden="false" customHeight="false" outlineLevel="0" collapsed="false">
      <c r="A11" s="2" t="s">
        <v>59</v>
      </c>
      <c r="B11" s="2" t="s">
        <v>11</v>
      </c>
      <c r="C11" s="2" t="s">
        <v>60</v>
      </c>
      <c r="D11" s="2" t="s">
        <v>61</v>
      </c>
      <c r="E11" s="2" t="s">
        <v>28</v>
      </c>
      <c r="F11" s="2" t="s">
        <v>29</v>
      </c>
      <c r="G11" s="2" t="s">
        <v>62</v>
      </c>
      <c r="H11" s="2" t="s">
        <v>17</v>
      </c>
      <c r="I11" s="2" t="s">
        <v>18</v>
      </c>
      <c r="J11" s="2" t="s">
        <v>63</v>
      </c>
    </row>
    <row r="12" customFormat="false" ht="23.85" hidden="false" customHeight="false" outlineLevel="0" collapsed="false">
      <c r="A12" s="2" t="s">
        <v>64</v>
      </c>
      <c r="B12" s="2" t="s">
        <v>11</v>
      </c>
      <c r="C12" s="2" t="s">
        <v>65</v>
      </c>
      <c r="D12" s="2" t="s">
        <v>22</v>
      </c>
      <c r="E12" s="2" t="s">
        <v>14</v>
      </c>
      <c r="F12" s="2" t="s">
        <v>15</v>
      </c>
      <c r="G12" s="2" t="s">
        <v>66</v>
      </c>
      <c r="H12" s="2" t="s">
        <v>17</v>
      </c>
      <c r="I12" s="2" t="s">
        <v>18</v>
      </c>
      <c r="J12" s="2" t="s">
        <v>67</v>
      </c>
    </row>
    <row r="13" customFormat="false" ht="35.05" hidden="false" customHeight="false" outlineLevel="0" collapsed="false">
      <c r="A13" s="2" t="s">
        <v>68</v>
      </c>
      <c r="B13" s="2" t="s">
        <v>11</v>
      </c>
      <c r="C13" s="2" t="s">
        <v>69</v>
      </c>
      <c r="D13" s="2" t="s">
        <v>22</v>
      </c>
      <c r="E13" s="2" t="s">
        <v>14</v>
      </c>
      <c r="F13" s="2" t="s">
        <v>15</v>
      </c>
      <c r="G13" s="2" t="s">
        <v>70</v>
      </c>
      <c r="H13" s="2" t="s">
        <v>17</v>
      </c>
      <c r="I13" s="2" t="s">
        <v>18</v>
      </c>
      <c r="J13" s="2" t="s">
        <v>71</v>
      </c>
    </row>
    <row r="14" customFormat="false" ht="35.05" hidden="false" customHeight="false" outlineLevel="0" collapsed="false">
      <c r="A14" s="2" t="s">
        <v>72</v>
      </c>
      <c r="B14" s="2" t="s">
        <v>11</v>
      </c>
      <c r="C14" s="2" t="s">
        <v>73</v>
      </c>
      <c r="D14" s="2" t="s">
        <v>74</v>
      </c>
      <c r="E14" s="2" t="s">
        <v>14</v>
      </c>
      <c r="F14" s="2" t="s">
        <v>15</v>
      </c>
      <c r="G14" s="2" t="s">
        <v>75</v>
      </c>
      <c r="H14" s="2" t="s">
        <v>17</v>
      </c>
      <c r="I14" s="2" t="s">
        <v>18</v>
      </c>
      <c r="J14" s="2" t="s">
        <v>76</v>
      </c>
    </row>
    <row r="15" customFormat="false" ht="68.65" hidden="false" customHeight="false" outlineLevel="0" collapsed="false">
      <c r="A15" s="2" t="s">
        <v>77</v>
      </c>
      <c r="B15" s="2" t="s">
        <v>78</v>
      </c>
      <c r="C15" s="2" t="s">
        <v>79</v>
      </c>
      <c r="D15" s="2" t="s">
        <v>80</v>
      </c>
      <c r="E15" s="2" t="s">
        <v>38</v>
      </c>
      <c r="F15" s="2" t="s">
        <v>29</v>
      </c>
      <c r="G15" s="2" t="s">
        <v>81</v>
      </c>
      <c r="H15" s="2" t="s">
        <v>45</v>
      </c>
      <c r="I15" s="2" t="s">
        <v>18</v>
      </c>
      <c r="J15" s="2" t="s">
        <v>82</v>
      </c>
    </row>
    <row r="16" customFormat="false" ht="68.65" hidden="false" customHeight="false" outlineLevel="0" collapsed="false">
      <c r="A16" s="2" t="s">
        <v>83</v>
      </c>
      <c r="B16" s="2" t="s">
        <v>78</v>
      </c>
      <c r="C16" s="2" t="s">
        <v>84</v>
      </c>
      <c r="D16" s="2" t="s">
        <v>27</v>
      </c>
      <c r="E16" s="2" t="s">
        <v>28</v>
      </c>
      <c r="F16" s="2" t="s">
        <v>43</v>
      </c>
      <c r="G16" s="2" t="s">
        <v>85</v>
      </c>
      <c r="H16" s="2" t="s">
        <v>17</v>
      </c>
      <c r="I16" s="2" t="s">
        <v>18</v>
      </c>
      <c r="J16" s="2" t="s">
        <v>86</v>
      </c>
    </row>
    <row r="17" customFormat="false" ht="68.65" hidden="false" customHeight="false" outlineLevel="0" collapsed="false">
      <c r="A17" s="2" t="s">
        <v>87</v>
      </c>
      <c r="B17" s="2" t="s">
        <v>78</v>
      </c>
      <c r="C17" s="2" t="s">
        <v>88</v>
      </c>
      <c r="D17" s="2" t="s">
        <v>27</v>
      </c>
      <c r="E17" s="2" t="s">
        <v>28</v>
      </c>
      <c r="F17" s="2" t="s">
        <v>43</v>
      </c>
      <c r="G17" s="2" t="s">
        <v>89</v>
      </c>
      <c r="H17" s="2" t="s">
        <v>17</v>
      </c>
      <c r="I17" s="2" t="s">
        <v>18</v>
      </c>
      <c r="J17" s="2" t="s">
        <v>90</v>
      </c>
    </row>
    <row r="18" customFormat="false" ht="57.45" hidden="false" customHeight="false" outlineLevel="0" collapsed="false">
      <c r="A18" s="2" t="s">
        <v>91</v>
      </c>
      <c r="B18" s="2" t="s">
        <v>78</v>
      </c>
      <c r="C18" s="2" t="s">
        <v>92</v>
      </c>
      <c r="D18" s="2" t="s">
        <v>27</v>
      </c>
      <c r="E18" s="2" t="s">
        <v>28</v>
      </c>
      <c r="F18" s="2" t="s">
        <v>29</v>
      </c>
      <c r="G18" s="2" t="s">
        <v>93</v>
      </c>
      <c r="H18" s="2" t="s">
        <v>17</v>
      </c>
      <c r="I18" s="2" t="s">
        <v>18</v>
      </c>
      <c r="J18" s="2" t="s">
        <v>94</v>
      </c>
    </row>
    <row r="19" customFormat="false" ht="23.85" hidden="false" customHeight="false" outlineLevel="0" collapsed="false">
      <c r="A19" s="2" t="s">
        <v>95</v>
      </c>
      <c r="B19" s="2" t="s">
        <v>78</v>
      </c>
      <c r="C19" s="2" t="s">
        <v>96</v>
      </c>
      <c r="D19" s="2" t="s">
        <v>74</v>
      </c>
      <c r="E19" s="2" t="s">
        <v>14</v>
      </c>
      <c r="F19" s="2" t="s">
        <v>15</v>
      </c>
      <c r="G19" s="2" t="s">
        <v>97</v>
      </c>
      <c r="H19" s="2" t="s">
        <v>17</v>
      </c>
      <c r="I19" s="2" t="s">
        <v>18</v>
      </c>
      <c r="J19" s="2" t="s">
        <v>98</v>
      </c>
    </row>
    <row r="20" customFormat="false" ht="35.05" hidden="false" customHeight="false" outlineLevel="0" collapsed="false">
      <c r="A20" s="2" t="s">
        <v>99</v>
      </c>
      <c r="B20" s="2" t="s">
        <v>78</v>
      </c>
      <c r="C20" s="2" t="s">
        <v>100</v>
      </c>
      <c r="D20" s="2" t="s">
        <v>22</v>
      </c>
      <c r="E20" s="2" t="s">
        <v>14</v>
      </c>
      <c r="F20" s="2" t="s">
        <v>15</v>
      </c>
      <c r="G20" s="2" t="s">
        <v>101</v>
      </c>
      <c r="H20" s="2" t="s">
        <v>17</v>
      </c>
      <c r="I20" s="2" t="s">
        <v>18</v>
      </c>
      <c r="J20" s="2" t="s">
        <v>102</v>
      </c>
    </row>
    <row r="21" customFormat="false" ht="35.05" hidden="false" customHeight="false" outlineLevel="0" collapsed="false">
      <c r="A21" s="2" t="s">
        <v>103</v>
      </c>
      <c r="B21" s="2" t="s">
        <v>78</v>
      </c>
      <c r="C21" s="2" t="s">
        <v>104</v>
      </c>
      <c r="D21" s="2" t="s">
        <v>22</v>
      </c>
      <c r="E21" s="2" t="s">
        <v>38</v>
      </c>
      <c r="F21" s="2" t="s">
        <v>15</v>
      </c>
      <c r="G21" s="2" t="s">
        <v>105</v>
      </c>
      <c r="H21" s="2" t="s">
        <v>17</v>
      </c>
      <c r="I21" s="2" t="s">
        <v>18</v>
      </c>
      <c r="J21" s="2" t="s">
        <v>106</v>
      </c>
    </row>
    <row r="22" customFormat="false" ht="23.85" hidden="false" customHeight="false" outlineLevel="0" collapsed="false">
      <c r="A22" s="2" t="s">
        <v>107</v>
      </c>
      <c r="B22" s="2" t="s">
        <v>78</v>
      </c>
      <c r="C22" s="2" t="s">
        <v>108</v>
      </c>
      <c r="D22" s="2" t="s">
        <v>22</v>
      </c>
      <c r="E22" s="2" t="s">
        <v>14</v>
      </c>
      <c r="F22" s="2" t="s">
        <v>15</v>
      </c>
      <c r="G22" s="2" t="s">
        <v>109</v>
      </c>
      <c r="H22" s="2" t="s">
        <v>17</v>
      </c>
      <c r="I22" s="2" t="s">
        <v>18</v>
      </c>
      <c r="J22" s="2" t="s">
        <v>110</v>
      </c>
    </row>
    <row r="23" customFormat="false" ht="23.85" hidden="false" customHeight="false" outlineLevel="0" collapsed="false">
      <c r="A23" s="2" t="s">
        <v>111</v>
      </c>
      <c r="B23" s="2" t="s">
        <v>78</v>
      </c>
      <c r="C23" s="2" t="s">
        <v>112</v>
      </c>
      <c r="D23" s="2" t="s">
        <v>22</v>
      </c>
      <c r="E23" s="2" t="s">
        <v>14</v>
      </c>
      <c r="F23" s="2" t="s">
        <v>15</v>
      </c>
      <c r="G23" s="2" t="s">
        <v>113</v>
      </c>
      <c r="H23" s="2" t="s">
        <v>17</v>
      </c>
      <c r="I23" s="2" t="s">
        <v>18</v>
      </c>
      <c r="J23" s="2" t="s">
        <v>114</v>
      </c>
    </row>
    <row r="24" customFormat="false" ht="35.05" hidden="false" customHeight="false" outlineLevel="0" collapsed="false">
      <c r="A24" s="2" t="s">
        <v>115</v>
      </c>
      <c r="B24" s="2" t="s">
        <v>78</v>
      </c>
      <c r="C24" s="2" t="s">
        <v>116</v>
      </c>
      <c r="D24" s="2" t="s">
        <v>74</v>
      </c>
      <c r="E24" s="2" t="s">
        <v>14</v>
      </c>
      <c r="F24" s="2" t="s">
        <v>15</v>
      </c>
      <c r="G24" s="2" t="s">
        <v>117</v>
      </c>
      <c r="H24" s="2" t="s">
        <v>17</v>
      </c>
      <c r="I24" s="2" t="s">
        <v>18</v>
      </c>
      <c r="J24" s="2"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2"/>
  </cols>
  <sheetData>
    <row r="1" customFormat="false" ht="17.35" hidden="false" customHeight="false" outlineLevel="0" collapsed="false">
      <c r="A1" s="3" t="s">
        <v>119</v>
      </c>
      <c r="B1" s="4"/>
    </row>
    <row r="2" customFormat="false" ht="15" hidden="false" customHeight="false" outlineLevel="0" collapsed="false">
      <c r="A2" s="4"/>
      <c r="B2" s="4"/>
    </row>
    <row r="3" customFormat="false" ht="15" hidden="false" customHeight="false" outlineLevel="0" collapsed="false">
      <c r="A3" s="4" t="s">
        <v>120</v>
      </c>
      <c r="B3" s="4" t="n">
        <f aca="false">COUNTA(Comments!A2:A1000)</f>
        <v>23</v>
      </c>
    </row>
    <row r="4" customFormat="false" ht="15" hidden="false" customHeight="false" outlineLevel="0" collapsed="false">
      <c r="A4" s="4" t="s">
        <v>11</v>
      </c>
      <c r="B4" s="4" t="n">
        <f aca="false">COUNTIF(Comments!B2:B1000,"Referee 1")</f>
        <v>13</v>
      </c>
    </row>
    <row r="5" customFormat="false" ht="15" hidden="false" customHeight="false" outlineLevel="0" collapsed="false">
      <c r="A5" s="4" t="s">
        <v>78</v>
      </c>
      <c r="B5" s="4" t="n">
        <f aca="false">COUNTIF(Comments!B2:B1000,"Referee 2")</f>
        <v>10</v>
      </c>
    </row>
    <row r="6" customFormat="false" ht="15" hidden="false" customHeight="false" outlineLevel="0" collapsed="false">
      <c r="A6" s="4"/>
      <c r="B6" s="4"/>
    </row>
    <row r="7" customFormat="false" ht="15" hidden="false" customHeight="false" outlineLevel="0" collapsed="false">
      <c r="A7" s="5" t="s">
        <v>121</v>
      </c>
      <c r="B7" s="4"/>
    </row>
    <row r="8" customFormat="false" ht="15" hidden="false" customHeight="false" outlineLevel="0" collapsed="false">
      <c r="A8" s="4" t="s">
        <v>13</v>
      </c>
      <c r="B8" s="4" t="n">
        <f aca="false">COUNTIF(Comments!D2:D1000,"framing")</f>
        <v>4</v>
      </c>
    </row>
    <row r="9" customFormat="false" ht="15" hidden="false" customHeight="false" outlineLevel="0" collapsed="false">
      <c r="A9" s="4" t="s">
        <v>27</v>
      </c>
      <c r="B9" s="4" t="n">
        <f aca="false">COUNTIF(Comments!D2:D1000,"methodology")</f>
        <v>7</v>
      </c>
    </row>
    <row r="10" customFormat="false" ht="15" hidden="false" customHeight="false" outlineLevel="0" collapsed="false">
      <c r="A10" s="4" t="s">
        <v>61</v>
      </c>
      <c r="B10" s="4" t="n">
        <f aca="false">COUNTIF(Comments!D2:D1000,"validation")</f>
        <v>1</v>
      </c>
    </row>
    <row r="11" customFormat="false" ht="15" hidden="false" customHeight="false" outlineLevel="0" collapsed="false">
      <c r="A11" s="4" t="s">
        <v>80</v>
      </c>
      <c r="B11" s="4" t="n">
        <f aca="false">COUNTIF(Comments!D2:D1000,"discussion")</f>
        <v>1</v>
      </c>
    </row>
    <row r="12" customFormat="false" ht="15" hidden="false" customHeight="false" outlineLevel="0" collapsed="false">
      <c r="A12" s="4" t="s">
        <v>22</v>
      </c>
      <c r="B12" s="4" t="n">
        <f aca="false">COUNTIF(Comments!D2:D1000,"cosmetic")</f>
        <v>7</v>
      </c>
    </row>
    <row r="13" customFormat="false" ht="15" hidden="false" customHeight="false" outlineLevel="0" collapsed="false">
      <c r="A13" s="4" t="s">
        <v>74</v>
      </c>
      <c r="B13" s="4" t="n">
        <f aca="false">COUNTIF(Comments!D2:D1000,"bibliography")</f>
        <v>3</v>
      </c>
    </row>
    <row r="14" customFormat="false" ht="15" hidden="false" customHeight="false" outlineLevel="0" collapsed="false">
      <c r="A14" s="4"/>
      <c r="B14" s="4"/>
    </row>
    <row r="15" customFormat="false" ht="15" hidden="false" customHeight="false" outlineLevel="0" collapsed="false">
      <c r="A15" s="5" t="s">
        <v>122</v>
      </c>
      <c r="B15" s="4"/>
    </row>
    <row r="16" customFormat="false" ht="15" hidden="false" customHeight="false" outlineLevel="0" collapsed="false">
      <c r="A16" s="4" t="s">
        <v>14</v>
      </c>
      <c r="B16" s="4" t="n">
        <f aca="false">COUNTIF(Comments!E2:E1000,"text-only")</f>
        <v>13</v>
      </c>
    </row>
    <row r="17" customFormat="false" ht="15" hidden="false" customHeight="false" outlineLevel="0" collapsed="false">
      <c r="A17" s="4" t="s">
        <v>38</v>
      </c>
      <c r="B17" s="4" t="n">
        <f aca="false">COUNTIF(Comments!E2:E1000,"re-analysis")</f>
        <v>3</v>
      </c>
    </row>
    <row r="18" customFormat="false" ht="15" hidden="false" customHeight="false" outlineLevel="0" collapsed="false">
      <c r="A18" s="4" t="s">
        <v>28</v>
      </c>
      <c r="B18" s="4" t="n">
        <f aca="false">COUNTIF(Comments!E2:E1000,"new-compute")</f>
        <v>7</v>
      </c>
    </row>
    <row r="19" customFormat="false" ht="15" hidden="false" customHeight="false" outlineLevel="0" collapsed="false">
      <c r="A19" s="4"/>
      <c r="B19" s="4"/>
    </row>
    <row r="20" customFormat="false" ht="15" hidden="false" customHeight="false" outlineLevel="0" collapsed="false">
      <c r="A20" s="5" t="s">
        <v>123</v>
      </c>
      <c r="B20" s="4"/>
    </row>
    <row r="21" customFormat="false" ht="15" hidden="false" customHeight="false" outlineLevel="0" collapsed="false">
      <c r="A21" s="4" t="s">
        <v>15</v>
      </c>
      <c r="B21" s="4" t="n">
        <f aca="false">COUNTIF(Comments!F2:F1000,"low")</f>
        <v>13</v>
      </c>
    </row>
    <row r="22" customFormat="false" ht="15" hidden="false" customHeight="false" outlineLevel="0" collapsed="false">
      <c r="A22" s="4" t="s">
        <v>29</v>
      </c>
      <c r="B22" s="4" t="n">
        <f aca="false">COUNTIF(Comments!F2:F1000,"medium")</f>
        <v>6</v>
      </c>
    </row>
    <row r="23" customFormat="false" ht="15" hidden="false" customHeight="false" outlineLevel="0" collapsed="false">
      <c r="A23" s="4" t="s">
        <v>43</v>
      </c>
      <c r="B23" s="4" t="n">
        <f aca="false">COUNTIF(Comments!F2:F1000,"high")</f>
        <v>4</v>
      </c>
    </row>
    <row r="24" customFormat="false" ht="15" hidden="false" customHeight="false" outlineLevel="0" collapsed="false">
      <c r="A24" s="4"/>
      <c r="B24" s="4"/>
    </row>
    <row r="25" customFormat="false" ht="15" hidden="false" customHeight="false" outlineLevel="0" collapsed="false">
      <c r="A25" s="5" t="s">
        <v>124</v>
      </c>
      <c r="B25" s="4"/>
    </row>
    <row r="26" customFormat="false" ht="15" hidden="false" customHeight="false" outlineLevel="0" collapsed="false">
      <c r="A26" s="4" t="s">
        <v>18</v>
      </c>
      <c r="B26" s="4" t="n">
        <f aca="false">COUNTIF(Comments!I2:I1000,"open")</f>
        <v>23</v>
      </c>
    </row>
    <row r="27" customFormat="false" ht="15" hidden="false" customHeight="false" outlineLevel="0" collapsed="false">
      <c r="A27" s="4" t="s">
        <v>125</v>
      </c>
      <c r="B27" s="4" t="n">
        <f aca="false">COUNTIF(Comments!I2:I1000,"in-progress")</f>
        <v>0</v>
      </c>
    </row>
    <row r="28" customFormat="false" ht="15" hidden="false" customHeight="false" outlineLevel="0" collapsed="false">
      <c r="A28" s="4" t="s">
        <v>126</v>
      </c>
      <c r="B28" s="4" t="n">
        <f aca="false">COUNTIF(Comments!I2:I1000,"done")</f>
        <v>0</v>
      </c>
    </row>
    <row r="29" customFormat="false" ht="15" hidden="false" customHeight="false" outlineLevel="0" collapsed="false">
      <c r="A29" s="4"/>
      <c r="B29" s="4"/>
    </row>
    <row r="30" customFormat="false" ht="15" hidden="false" customHeight="false" outlineLevel="0" collapsed="false">
      <c r="A30" s="4"/>
      <c r="B30"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50"/>
  </cols>
  <sheetData>
    <row r="1" customFormat="false" ht="15" hidden="false" customHeight="false" outlineLevel="0" collapsed="false">
      <c r="A1" s="6" t="s">
        <v>127</v>
      </c>
      <c r="B1" s="6" t="s">
        <v>128</v>
      </c>
      <c r="C1" s="6" t="s">
        <v>129</v>
      </c>
    </row>
    <row r="2" customFormat="false" ht="15" hidden="false" customHeight="false" outlineLevel="0" collapsed="false">
      <c r="A2" s="7" t="s">
        <v>3</v>
      </c>
      <c r="B2" s="7" t="s">
        <v>13</v>
      </c>
      <c r="C2" s="7" t="s">
        <v>130</v>
      </c>
    </row>
    <row r="3" customFormat="false" ht="15" hidden="false" customHeight="false" outlineLevel="0" collapsed="false">
      <c r="A3" s="7"/>
      <c r="B3" s="7" t="s">
        <v>27</v>
      </c>
      <c r="C3" s="7" t="s">
        <v>131</v>
      </c>
    </row>
    <row r="4" customFormat="false" ht="15" hidden="false" customHeight="false" outlineLevel="0" collapsed="false">
      <c r="A4" s="7"/>
      <c r="B4" s="7" t="s">
        <v>61</v>
      </c>
      <c r="C4" s="7" t="s">
        <v>132</v>
      </c>
    </row>
    <row r="5" customFormat="false" ht="15" hidden="false" customHeight="false" outlineLevel="0" collapsed="false">
      <c r="A5" s="7"/>
      <c r="B5" s="7" t="s">
        <v>80</v>
      </c>
      <c r="C5" s="7" t="s">
        <v>133</v>
      </c>
    </row>
    <row r="6" customFormat="false" ht="15" hidden="false" customHeight="false" outlineLevel="0" collapsed="false">
      <c r="A6" s="7"/>
      <c r="B6" s="7" t="s">
        <v>22</v>
      </c>
      <c r="C6" s="7" t="s">
        <v>134</v>
      </c>
    </row>
    <row r="7" customFormat="false" ht="15" hidden="false" customHeight="false" outlineLevel="0" collapsed="false">
      <c r="A7" s="7"/>
      <c r="B7" s="7" t="s">
        <v>74</v>
      </c>
      <c r="C7" s="7" t="s">
        <v>135</v>
      </c>
    </row>
    <row r="8" customFormat="false" ht="15" hidden="false" customHeight="false" outlineLevel="0" collapsed="false">
      <c r="A8" s="7" t="s">
        <v>4</v>
      </c>
      <c r="B8" s="7" t="s">
        <v>14</v>
      </c>
      <c r="C8" s="7" t="s">
        <v>136</v>
      </c>
    </row>
    <row r="9" customFormat="false" ht="15" hidden="false" customHeight="false" outlineLevel="0" collapsed="false">
      <c r="A9" s="7"/>
      <c r="B9" s="7" t="s">
        <v>38</v>
      </c>
      <c r="C9" s="7" t="s">
        <v>137</v>
      </c>
    </row>
    <row r="10" customFormat="false" ht="15" hidden="false" customHeight="false" outlineLevel="0" collapsed="false">
      <c r="A10" s="7"/>
      <c r="B10" s="7" t="s">
        <v>28</v>
      </c>
      <c r="C10" s="7" t="s">
        <v>138</v>
      </c>
    </row>
    <row r="11" customFormat="false" ht="15" hidden="false" customHeight="false" outlineLevel="0" collapsed="false">
      <c r="A11" s="7" t="s">
        <v>5</v>
      </c>
      <c r="B11" s="7" t="s">
        <v>15</v>
      </c>
      <c r="C11" s="7" t="s">
        <v>139</v>
      </c>
    </row>
    <row r="12" customFormat="false" ht="15" hidden="false" customHeight="false" outlineLevel="0" collapsed="false">
      <c r="A12" s="7"/>
      <c r="B12" s="7" t="s">
        <v>29</v>
      </c>
      <c r="C12" s="7" t="s">
        <v>140</v>
      </c>
    </row>
    <row r="13" customFormat="false" ht="15" hidden="false" customHeight="false" outlineLevel="0" collapsed="false">
      <c r="A13" s="7"/>
      <c r="B13" s="7" t="s">
        <v>43</v>
      </c>
      <c r="C13" s="7" t="s">
        <v>141</v>
      </c>
    </row>
    <row r="14" customFormat="false" ht="15" hidden="false" customHeight="false" outlineLevel="0" collapsed="false">
      <c r="A14" s="7" t="s">
        <v>8</v>
      </c>
      <c r="B14" s="7" t="s">
        <v>18</v>
      </c>
      <c r="C14" s="7" t="s">
        <v>142</v>
      </c>
    </row>
    <row r="15" customFormat="false" ht="15" hidden="false" customHeight="false" outlineLevel="0" collapsed="false">
      <c r="A15" s="7"/>
      <c r="B15" s="7" t="s">
        <v>125</v>
      </c>
      <c r="C15" s="7" t="s">
        <v>143</v>
      </c>
    </row>
    <row r="16" customFormat="false" ht="15" hidden="false" customHeight="false" outlineLevel="0" collapsed="false">
      <c r="A16" s="7"/>
      <c r="B16" s="7" t="s">
        <v>126</v>
      </c>
      <c r="C16" s="7"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2026-05-18T03:15:46Z</dcterms:created>
  <dc:creator>openpyxl</dc:creator>
  <dc:description/>
  <dc:language>en-US</dc:language>
  <cp:lastModifiedBy/>
  <dcterms:modified xsi:type="dcterms:W3CDTF">2026-05-18T03:15:46Z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